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2"/>
  </bookViews>
  <sheets>
    <sheet name="list" sheetId="1" r:id="rId1"/>
    <sheet name="analytical" sheetId="2" r:id="rId2"/>
    <sheet name="numerical" sheetId="4" r:id="rId3"/>
    <sheet name="data" sheetId="3" r:id="rId4"/>
    <sheet name="5x7x7" sheetId="5" r:id="rId5"/>
    <sheet name="20x10x10" sheetId="6" r:id="rId6"/>
  </sheets>
  <functionGroups builtInGroupCount="17"/>
  <definedNames>
    <definedName name="_xlnm._FilterDatabase" localSheetId="0" hidden="1">list!$C$4:$AC$13</definedName>
  </definedNames>
  <calcPr calcId="145621"/>
</workbook>
</file>

<file path=xl/calcChain.xml><?xml version="1.0" encoding="utf-8"?>
<calcChain xmlns="http://schemas.openxmlformats.org/spreadsheetml/2006/main">
  <c r="C2" i="4" l="1"/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2" i="4"/>
  <c r="D3" i="4"/>
  <c r="E3" i="4"/>
  <c r="F3" i="4"/>
  <c r="D4" i="4"/>
  <c r="E4" i="4"/>
  <c r="F4" i="4"/>
  <c r="D5" i="4"/>
  <c r="E5" i="4"/>
  <c r="F5" i="4"/>
  <c r="D6" i="4"/>
  <c r="E6" i="4"/>
  <c r="F6" i="4"/>
  <c r="D7" i="4"/>
  <c r="E7" i="4"/>
  <c r="F7" i="4"/>
  <c r="D8" i="4"/>
  <c r="E8" i="4"/>
  <c r="F8" i="4"/>
  <c r="D9" i="4"/>
  <c r="E9" i="4"/>
  <c r="F9" i="4"/>
  <c r="D10" i="4"/>
  <c r="E10" i="4"/>
  <c r="F10" i="4"/>
  <c r="D11" i="4"/>
  <c r="E11" i="4"/>
  <c r="F11" i="4"/>
  <c r="D12" i="4"/>
  <c r="E12" i="4"/>
  <c r="F12" i="4"/>
  <c r="D13" i="4"/>
  <c r="E13" i="4"/>
  <c r="F13" i="4"/>
  <c r="D14" i="4"/>
  <c r="E14" i="4"/>
  <c r="F14" i="4"/>
  <c r="D15" i="4"/>
  <c r="E15" i="4"/>
  <c r="F15" i="4"/>
  <c r="D16" i="4"/>
  <c r="E16" i="4"/>
  <c r="F16" i="4"/>
  <c r="D17" i="4"/>
  <c r="E17" i="4"/>
  <c r="F17" i="4"/>
  <c r="D18" i="4"/>
  <c r="E18" i="4"/>
  <c r="F18" i="4"/>
  <c r="D19" i="4"/>
  <c r="E19" i="4"/>
  <c r="F19" i="4"/>
  <c r="D20" i="4"/>
  <c r="E20" i="4"/>
  <c r="F20" i="4"/>
  <c r="D21" i="4"/>
  <c r="E21" i="4"/>
  <c r="F21" i="4"/>
  <c r="D22" i="4"/>
  <c r="E22" i="4"/>
  <c r="F22" i="4"/>
  <c r="D23" i="4"/>
  <c r="E23" i="4"/>
  <c r="F23" i="4"/>
  <c r="D24" i="4"/>
  <c r="E24" i="4"/>
  <c r="F24" i="4"/>
  <c r="D25" i="4"/>
  <c r="E25" i="4"/>
  <c r="F25" i="4"/>
  <c r="D26" i="4"/>
  <c r="E26" i="4"/>
  <c r="F26" i="4"/>
  <c r="D27" i="4"/>
  <c r="E27" i="4"/>
  <c r="F27" i="4"/>
  <c r="D28" i="4"/>
  <c r="E28" i="4"/>
  <c r="F28" i="4"/>
  <c r="D29" i="4"/>
  <c r="E29" i="4"/>
  <c r="F29" i="4"/>
  <c r="D30" i="4"/>
  <c r="E30" i="4"/>
  <c r="F30" i="4"/>
  <c r="D31" i="4"/>
  <c r="E31" i="4"/>
  <c r="F31" i="4"/>
  <c r="D32" i="4"/>
  <c r="E32" i="4"/>
  <c r="F32" i="4"/>
  <c r="D33" i="4"/>
  <c r="E33" i="4"/>
  <c r="F33" i="4"/>
  <c r="D34" i="4"/>
  <c r="E34" i="4"/>
  <c r="F34" i="4"/>
  <c r="D35" i="4"/>
  <c r="E35" i="4"/>
  <c r="F35" i="4"/>
  <c r="D36" i="4"/>
  <c r="E36" i="4"/>
  <c r="F36" i="4"/>
  <c r="D37" i="4"/>
  <c r="E37" i="4"/>
  <c r="F37" i="4"/>
  <c r="D38" i="4"/>
  <c r="E38" i="4"/>
  <c r="F38" i="4"/>
  <c r="D39" i="4"/>
  <c r="E39" i="4"/>
  <c r="F39" i="4"/>
  <c r="D40" i="4"/>
  <c r="E40" i="4"/>
  <c r="F40" i="4"/>
  <c r="D41" i="4"/>
  <c r="E41" i="4"/>
  <c r="F41" i="4"/>
  <c r="D42" i="4"/>
  <c r="E42" i="4"/>
  <c r="F42" i="4"/>
  <c r="D43" i="4"/>
  <c r="E43" i="4"/>
  <c r="F43" i="4"/>
  <c r="D44" i="4"/>
  <c r="E44" i="4"/>
  <c r="F44" i="4"/>
  <c r="D45" i="4"/>
  <c r="E45" i="4"/>
  <c r="F45" i="4"/>
  <c r="D46" i="4"/>
  <c r="E46" i="4"/>
  <c r="F46" i="4"/>
  <c r="D47" i="4"/>
  <c r="E47" i="4"/>
  <c r="F47" i="4"/>
  <c r="D48" i="4"/>
  <c r="E48" i="4"/>
  <c r="F48" i="4"/>
  <c r="D49" i="4"/>
  <c r="E49" i="4"/>
  <c r="F49" i="4"/>
  <c r="D50" i="4"/>
  <c r="E50" i="4"/>
  <c r="F50" i="4"/>
  <c r="D51" i="4"/>
  <c r="E51" i="4"/>
  <c r="F51" i="4"/>
  <c r="D52" i="4"/>
  <c r="E52" i="4"/>
  <c r="F52" i="4"/>
  <c r="D53" i="4"/>
  <c r="E53" i="4"/>
  <c r="F53" i="4"/>
  <c r="D54" i="4"/>
  <c r="E54" i="4"/>
  <c r="F54" i="4"/>
  <c r="D55" i="4"/>
  <c r="E55" i="4"/>
  <c r="F55" i="4"/>
  <c r="D56" i="4"/>
  <c r="E56" i="4"/>
  <c r="F56" i="4"/>
  <c r="D57" i="4"/>
  <c r="E57" i="4"/>
  <c r="F57" i="4"/>
  <c r="D58" i="4"/>
  <c r="E58" i="4"/>
  <c r="F58" i="4"/>
  <c r="D59" i="4"/>
  <c r="E59" i="4"/>
  <c r="F59" i="4"/>
  <c r="D60" i="4"/>
  <c r="E60" i="4"/>
  <c r="F60" i="4"/>
  <c r="D61" i="4"/>
  <c r="E61" i="4"/>
  <c r="F61" i="4"/>
  <c r="D62" i="4"/>
  <c r="E62" i="4"/>
  <c r="F62" i="4"/>
  <c r="D63" i="4"/>
  <c r="E63" i="4"/>
  <c r="F63" i="4"/>
  <c r="D64" i="4"/>
  <c r="E64" i="4"/>
  <c r="F64" i="4"/>
  <c r="D65" i="4"/>
  <c r="E65" i="4"/>
  <c r="F65" i="4"/>
  <c r="D66" i="4"/>
  <c r="E66" i="4"/>
  <c r="F66" i="4"/>
  <c r="D67" i="4"/>
  <c r="E67" i="4"/>
  <c r="F67" i="4"/>
  <c r="D68" i="4"/>
  <c r="E68" i="4"/>
  <c r="F68" i="4"/>
  <c r="D69" i="4"/>
  <c r="E69" i="4"/>
  <c r="F69" i="4"/>
  <c r="D70" i="4"/>
  <c r="E70" i="4"/>
  <c r="F70" i="4"/>
  <c r="D71" i="4"/>
  <c r="E71" i="4"/>
  <c r="F71" i="4"/>
  <c r="D72" i="4"/>
  <c r="E72" i="4"/>
  <c r="F72" i="4"/>
  <c r="D73" i="4"/>
  <c r="E73" i="4"/>
  <c r="F73" i="4"/>
  <c r="D74" i="4"/>
  <c r="E74" i="4"/>
  <c r="F74" i="4"/>
  <c r="D75" i="4"/>
  <c r="E75" i="4"/>
  <c r="F75" i="4"/>
  <c r="D76" i="4"/>
  <c r="E76" i="4"/>
  <c r="F76" i="4"/>
  <c r="D77" i="4"/>
  <c r="E77" i="4"/>
  <c r="F77" i="4"/>
  <c r="D78" i="4"/>
  <c r="E78" i="4"/>
  <c r="F78" i="4"/>
  <c r="D79" i="4"/>
  <c r="E79" i="4"/>
  <c r="F79" i="4"/>
  <c r="D80" i="4"/>
  <c r="E80" i="4"/>
  <c r="F80" i="4"/>
  <c r="D81" i="4"/>
  <c r="E81" i="4"/>
  <c r="F81" i="4"/>
  <c r="D82" i="4"/>
  <c r="E82" i="4"/>
  <c r="F82" i="4"/>
  <c r="D83" i="4"/>
  <c r="E83" i="4"/>
  <c r="F83" i="4"/>
  <c r="D84" i="4"/>
  <c r="E84" i="4"/>
  <c r="F84" i="4"/>
  <c r="D85" i="4"/>
  <c r="E85" i="4"/>
  <c r="F85" i="4"/>
  <c r="D86" i="4"/>
  <c r="E86" i="4"/>
  <c r="F86" i="4"/>
  <c r="D87" i="4"/>
  <c r="E87" i="4"/>
  <c r="F87" i="4"/>
  <c r="D88" i="4"/>
  <c r="E88" i="4"/>
  <c r="F88" i="4"/>
  <c r="D89" i="4"/>
  <c r="E89" i="4"/>
  <c r="F89" i="4"/>
  <c r="D90" i="4"/>
  <c r="E90" i="4"/>
  <c r="F90" i="4"/>
  <c r="D91" i="4"/>
  <c r="E91" i="4"/>
  <c r="F91" i="4"/>
  <c r="D92" i="4"/>
  <c r="E92" i="4"/>
  <c r="F92" i="4"/>
  <c r="D93" i="4"/>
  <c r="E93" i="4"/>
  <c r="F93" i="4"/>
  <c r="D94" i="4"/>
  <c r="E94" i="4"/>
  <c r="F94" i="4"/>
  <c r="D95" i="4"/>
  <c r="E95" i="4"/>
  <c r="F95" i="4"/>
  <c r="D96" i="4"/>
  <c r="E96" i="4"/>
  <c r="F96" i="4"/>
  <c r="D97" i="4"/>
  <c r="E97" i="4"/>
  <c r="F97" i="4"/>
  <c r="D98" i="4"/>
  <c r="E98" i="4"/>
  <c r="F98" i="4"/>
  <c r="D99" i="4"/>
  <c r="E99" i="4"/>
  <c r="F99" i="4"/>
  <c r="D100" i="4"/>
  <c r="E100" i="4"/>
  <c r="F100" i="4"/>
  <c r="D101" i="4"/>
  <c r="E101" i="4"/>
  <c r="F101" i="4"/>
  <c r="D102" i="4"/>
  <c r="E102" i="4"/>
  <c r="F102" i="4"/>
  <c r="C3" i="4"/>
  <c r="G3" i="4" s="1"/>
  <c r="C4" i="4"/>
  <c r="G4" i="4" s="1"/>
  <c r="C5" i="4"/>
  <c r="G5" i="4" s="1"/>
  <c r="C6" i="4"/>
  <c r="G6" i="4" s="1"/>
  <c r="C7" i="4"/>
  <c r="G7" i="4" s="1"/>
  <c r="C8" i="4"/>
  <c r="G8" i="4" s="1"/>
  <c r="C9" i="4"/>
  <c r="G9" i="4" s="1"/>
  <c r="C10" i="4"/>
  <c r="G10" i="4" s="1"/>
  <c r="C11" i="4"/>
  <c r="G11" i="4" s="1"/>
  <c r="C12" i="4"/>
  <c r="G12" i="4" s="1"/>
  <c r="C13" i="4"/>
  <c r="G13" i="4" s="1"/>
  <c r="C14" i="4"/>
  <c r="G14" i="4" s="1"/>
  <c r="C15" i="4"/>
  <c r="G15" i="4" s="1"/>
  <c r="C16" i="4"/>
  <c r="G16" i="4" s="1"/>
  <c r="C17" i="4"/>
  <c r="G17" i="4" s="1"/>
  <c r="C18" i="4"/>
  <c r="G18" i="4" s="1"/>
  <c r="C19" i="4"/>
  <c r="G19" i="4" s="1"/>
  <c r="C20" i="4"/>
  <c r="G20" i="4" s="1"/>
  <c r="C21" i="4"/>
  <c r="G21" i="4" s="1"/>
  <c r="C22" i="4"/>
  <c r="G22" i="4" s="1"/>
  <c r="C23" i="4"/>
  <c r="G23" i="4" s="1"/>
  <c r="C24" i="4"/>
  <c r="G24" i="4" s="1"/>
  <c r="C25" i="4"/>
  <c r="G25" i="4" s="1"/>
  <c r="C26" i="4"/>
  <c r="G26" i="4" s="1"/>
  <c r="C27" i="4"/>
  <c r="G27" i="4" s="1"/>
  <c r="C28" i="4"/>
  <c r="G28" i="4" s="1"/>
  <c r="C29" i="4"/>
  <c r="G29" i="4" s="1"/>
  <c r="C30" i="4"/>
  <c r="G30" i="4" s="1"/>
  <c r="C31" i="4"/>
  <c r="G31" i="4" s="1"/>
  <c r="C32" i="4"/>
  <c r="G32" i="4" s="1"/>
  <c r="C33" i="4"/>
  <c r="G33" i="4" s="1"/>
  <c r="C34" i="4"/>
  <c r="G34" i="4" s="1"/>
  <c r="C35" i="4"/>
  <c r="G35" i="4" s="1"/>
  <c r="C36" i="4"/>
  <c r="G36" i="4" s="1"/>
  <c r="C37" i="4"/>
  <c r="G37" i="4" s="1"/>
  <c r="C38" i="4"/>
  <c r="G38" i="4" s="1"/>
  <c r="C39" i="4"/>
  <c r="G39" i="4" s="1"/>
  <c r="C40" i="4"/>
  <c r="G40" i="4" s="1"/>
  <c r="C41" i="4"/>
  <c r="G41" i="4" s="1"/>
  <c r="C42" i="4"/>
  <c r="G42" i="4" s="1"/>
  <c r="C43" i="4"/>
  <c r="G43" i="4" s="1"/>
  <c r="C44" i="4"/>
  <c r="G44" i="4" s="1"/>
  <c r="C45" i="4"/>
  <c r="G45" i="4" s="1"/>
  <c r="C46" i="4"/>
  <c r="G46" i="4" s="1"/>
  <c r="C47" i="4"/>
  <c r="G47" i="4" s="1"/>
  <c r="C48" i="4"/>
  <c r="G48" i="4" s="1"/>
  <c r="C49" i="4"/>
  <c r="G49" i="4" s="1"/>
  <c r="C50" i="4"/>
  <c r="G50" i="4" s="1"/>
  <c r="C51" i="4"/>
  <c r="G51" i="4" s="1"/>
  <c r="C52" i="4"/>
  <c r="G52" i="4" s="1"/>
  <c r="C53" i="4"/>
  <c r="G53" i="4" s="1"/>
  <c r="C54" i="4"/>
  <c r="G54" i="4" s="1"/>
  <c r="C55" i="4"/>
  <c r="G55" i="4" s="1"/>
  <c r="C56" i="4"/>
  <c r="G56" i="4" s="1"/>
  <c r="C57" i="4"/>
  <c r="G57" i="4" s="1"/>
  <c r="C58" i="4"/>
  <c r="G58" i="4" s="1"/>
  <c r="C59" i="4"/>
  <c r="G59" i="4" s="1"/>
  <c r="C60" i="4"/>
  <c r="G60" i="4" s="1"/>
  <c r="C61" i="4"/>
  <c r="G61" i="4" s="1"/>
  <c r="C62" i="4"/>
  <c r="G62" i="4" s="1"/>
  <c r="C63" i="4"/>
  <c r="G63" i="4" s="1"/>
  <c r="C64" i="4"/>
  <c r="G64" i="4" s="1"/>
  <c r="C65" i="4"/>
  <c r="G65" i="4" s="1"/>
  <c r="C66" i="4"/>
  <c r="G66" i="4" s="1"/>
  <c r="C67" i="4"/>
  <c r="G67" i="4" s="1"/>
  <c r="C68" i="4"/>
  <c r="G68" i="4" s="1"/>
  <c r="C69" i="4"/>
  <c r="G69" i="4" s="1"/>
  <c r="C70" i="4"/>
  <c r="G70" i="4" s="1"/>
  <c r="C71" i="4"/>
  <c r="G71" i="4" s="1"/>
  <c r="C72" i="4"/>
  <c r="G72" i="4" s="1"/>
  <c r="C73" i="4"/>
  <c r="G73" i="4" s="1"/>
  <c r="C74" i="4"/>
  <c r="G74" i="4" s="1"/>
  <c r="C75" i="4"/>
  <c r="G75" i="4" s="1"/>
  <c r="C76" i="4"/>
  <c r="G76" i="4" s="1"/>
  <c r="C77" i="4"/>
  <c r="G77" i="4" s="1"/>
  <c r="C78" i="4"/>
  <c r="G78" i="4" s="1"/>
  <c r="C79" i="4"/>
  <c r="G79" i="4" s="1"/>
  <c r="C80" i="4"/>
  <c r="G80" i="4" s="1"/>
  <c r="C81" i="4"/>
  <c r="G81" i="4" s="1"/>
  <c r="C82" i="4"/>
  <c r="G82" i="4" s="1"/>
  <c r="C83" i="4"/>
  <c r="G83" i="4" s="1"/>
  <c r="C84" i="4"/>
  <c r="G84" i="4" s="1"/>
  <c r="C85" i="4"/>
  <c r="G85" i="4" s="1"/>
  <c r="C86" i="4"/>
  <c r="G86" i="4" s="1"/>
  <c r="C87" i="4"/>
  <c r="G87" i="4" s="1"/>
  <c r="C88" i="4"/>
  <c r="G88" i="4" s="1"/>
  <c r="C89" i="4"/>
  <c r="G89" i="4" s="1"/>
  <c r="C90" i="4"/>
  <c r="G90" i="4" s="1"/>
  <c r="C91" i="4"/>
  <c r="G91" i="4" s="1"/>
  <c r="C92" i="4"/>
  <c r="G92" i="4" s="1"/>
  <c r="C93" i="4"/>
  <c r="G93" i="4" s="1"/>
  <c r="C94" i="4"/>
  <c r="G94" i="4" s="1"/>
  <c r="C95" i="4"/>
  <c r="G95" i="4" s="1"/>
  <c r="C96" i="4"/>
  <c r="G96" i="4" s="1"/>
  <c r="C97" i="4"/>
  <c r="G97" i="4" s="1"/>
  <c r="C98" i="4"/>
  <c r="G98" i="4" s="1"/>
  <c r="C99" i="4"/>
  <c r="G99" i="4" s="1"/>
  <c r="C100" i="4"/>
  <c r="G100" i="4" s="1"/>
  <c r="C101" i="4"/>
  <c r="G101" i="4" s="1"/>
  <c r="C102" i="4"/>
  <c r="G102" i="4" s="1"/>
  <c r="A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3" i="4"/>
  <c r="F2" i="4"/>
  <c r="E2" i="4"/>
  <c r="D2" i="4"/>
  <c r="H99" i="4" l="1"/>
  <c r="O99" i="4" s="1"/>
  <c r="H95" i="4"/>
  <c r="O95" i="4" s="1"/>
  <c r="H91" i="4"/>
  <c r="O91" i="4" s="1"/>
  <c r="H87" i="4"/>
  <c r="O87" i="4" s="1"/>
  <c r="H83" i="4"/>
  <c r="O83" i="4" s="1"/>
  <c r="H79" i="4"/>
  <c r="O79" i="4" s="1"/>
  <c r="H75" i="4"/>
  <c r="O75" i="4" s="1"/>
  <c r="H71" i="4"/>
  <c r="O71" i="4" s="1"/>
  <c r="H67" i="4"/>
  <c r="O67" i="4" s="1"/>
  <c r="H59" i="4"/>
  <c r="O59" i="4" s="1"/>
  <c r="H51" i="4"/>
  <c r="O51" i="4" s="1"/>
  <c r="H43" i="4"/>
  <c r="O43" i="4" s="1"/>
  <c r="H35" i="4"/>
  <c r="O35" i="4" s="1"/>
  <c r="H27" i="4"/>
  <c r="O27" i="4" s="1"/>
  <c r="H19" i="4"/>
  <c r="O19" i="4" s="1"/>
  <c r="H11" i="4"/>
  <c r="O11" i="4" s="1"/>
  <c r="H3" i="4"/>
  <c r="O3" i="4" s="1"/>
  <c r="H2" i="4"/>
  <c r="O2" i="4" s="1"/>
  <c r="H102" i="4"/>
  <c r="O102" i="4" s="1"/>
  <c r="H101" i="4"/>
  <c r="O101" i="4" s="1"/>
  <c r="H100" i="4"/>
  <c r="O100" i="4" s="1"/>
  <c r="H98" i="4"/>
  <c r="O98" i="4" s="1"/>
  <c r="H97" i="4"/>
  <c r="O97" i="4" s="1"/>
  <c r="H96" i="4"/>
  <c r="O96" i="4" s="1"/>
  <c r="H94" i="4"/>
  <c r="O94" i="4" s="1"/>
  <c r="H93" i="4"/>
  <c r="O93" i="4" s="1"/>
  <c r="H92" i="4"/>
  <c r="O92" i="4" s="1"/>
  <c r="H90" i="4"/>
  <c r="O90" i="4" s="1"/>
  <c r="H89" i="4"/>
  <c r="O89" i="4" s="1"/>
  <c r="H88" i="4"/>
  <c r="O88" i="4" s="1"/>
  <c r="H86" i="4"/>
  <c r="O86" i="4" s="1"/>
  <c r="H85" i="4"/>
  <c r="O85" i="4" s="1"/>
  <c r="H84" i="4"/>
  <c r="O84" i="4" s="1"/>
  <c r="H82" i="4"/>
  <c r="O82" i="4" s="1"/>
  <c r="H81" i="4"/>
  <c r="O81" i="4" s="1"/>
  <c r="H80" i="4"/>
  <c r="O80" i="4" s="1"/>
  <c r="H78" i="4"/>
  <c r="O78" i="4" s="1"/>
  <c r="H77" i="4"/>
  <c r="O77" i="4" s="1"/>
  <c r="H76" i="4"/>
  <c r="O76" i="4" s="1"/>
  <c r="H74" i="4"/>
  <c r="O74" i="4" s="1"/>
  <c r="H73" i="4"/>
  <c r="O73" i="4" s="1"/>
  <c r="H72" i="4"/>
  <c r="O72" i="4" s="1"/>
  <c r="H70" i="4"/>
  <c r="O70" i="4" s="1"/>
  <c r="H68" i="4"/>
  <c r="O68" i="4" s="1"/>
  <c r="H66" i="4"/>
  <c r="O66" i="4" s="1"/>
  <c r="H64" i="4"/>
  <c r="O64" i="4" s="1"/>
  <c r="H63" i="4"/>
  <c r="O63" i="4" s="1"/>
  <c r="H62" i="4"/>
  <c r="O62" i="4" s="1"/>
  <c r="H60" i="4"/>
  <c r="O60" i="4" s="1"/>
  <c r="H58" i="4"/>
  <c r="O58" i="4" s="1"/>
  <c r="H56" i="4"/>
  <c r="O56" i="4" s="1"/>
  <c r="H55" i="4"/>
  <c r="O55" i="4" s="1"/>
  <c r="H54" i="4"/>
  <c r="O54" i="4" s="1"/>
  <c r="H52" i="4"/>
  <c r="O52" i="4" s="1"/>
  <c r="H50" i="4"/>
  <c r="O50" i="4" s="1"/>
  <c r="H48" i="4"/>
  <c r="O48" i="4" s="1"/>
  <c r="H47" i="4"/>
  <c r="O47" i="4" s="1"/>
  <c r="H46" i="4"/>
  <c r="O46" i="4" s="1"/>
  <c r="H44" i="4"/>
  <c r="O44" i="4" s="1"/>
  <c r="H42" i="4"/>
  <c r="O42" i="4" s="1"/>
  <c r="H40" i="4"/>
  <c r="O40" i="4" s="1"/>
  <c r="H39" i="4"/>
  <c r="O39" i="4" s="1"/>
  <c r="H38" i="4"/>
  <c r="O38" i="4" s="1"/>
  <c r="H36" i="4"/>
  <c r="O36" i="4" s="1"/>
  <c r="H34" i="4"/>
  <c r="O34" i="4" s="1"/>
  <c r="H32" i="4"/>
  <c r="O32" i="4" s="1"/>
  <c r="H31" i="4"/>
  <c r="O31" i="4" s="1"/>
  <c r="H30" i="4"/>
  <c r="O30" i="4" s="1"/>
  <c r="H28" i="4"/>
  <c r="O28" i="4" s="1"/>
  <c r="H26" i="4"/>
  <c r="O26" i="4" s="1"/>
  <c r="H24" i="4"/>
  <c r="O24" i="4" s="1"/>
  <c r="H23" i="4"/>
  <c r="O23" i="4" s="1"/>
  <c r="H22" i="4"/>
  <c r="O22" i="4" s="1"/>
  <c r="H20" i="4"/>
  <c r="O20" i="4" s="1"/>
  <c r="H18" i="4"/>
  <c r="O18" i="4" s="1"/>
  <c r="H16" i="4"/>
  <c r="O16" i="4" s="1"/>
  <c r="H15" i="4"/>
  <c r="O15" i="4" s="1"/>
  <c r="H14" i="4"/>
  <c r="O14" i="4" s="1"/>
  <c r="H12" i="4"/>
  <c r="O12" i="4" s="1"/>
  <c r="H10" i="4"/>
  <c r="O10" i="4" s="1"/>
  <c r="H8" i="4"/>
  <c r="O8" i="4" s="1"/>
  <c r="H7" i="4"/>
  <c r="O7" i="4" s="1"/>
  <c r="H6" i="4"/>
  <c r="O6" i="4" s="1"/>
  <c r="H4" i="4"/>
  <c r="O4" i="4" s="1"/>
  <c r="G2" i="4"/>
  <c r="H69" i="4"/>
  <c r="O69" i="4" s="1"/>
  <c r="H65" i="4"/>
  <c r="O65" i="4" s="1"/>
  <c r="H61" i="4"/>
  <c r="O61" i="4" s="1"/>
  <c r="H57" i="4"/>
  <c r="O57" i="4" s="1"/>
  <c r="H53" i="4"/>
  <c r="O53" i="4" s="1"/>
  <c r="H49" i="4"/>
  <c r="O49" i="4" s="1"/>
  <c r="H45" i="4"/>
  <c r="O45" i="4" s="1"/>
  <c r="H41" i="4"/>
  <c r="O41" i="4" s="1"/>
  <c r="H37" i="4"/>
  <c r="O37" i="4" s="1"/>
  <c r="H33" i="4"/>
  <c r="O33" i="4" s="1"/>
  <c r="H29" i="4"/>
  <c r="O29" i="4" s="1"/>
  <c r="H25" i="4"/>
  <c r="O25" i="4" s="1"/>
  <c r="H21" i="4"/>
  <c r="O21" i="4" s="1"/>
  <c r="H17" i="4"/>
  <c r="O17" i="4" s="1"/>
  <c r="H13" i="4"/>
  <c r="O13" i="4" s="1"/>
  <c r="H9" i="4"/>
  <c r="O9" i="4" s="1"/>
  <c r="H5" i="4"/>
  <c r="O5" i="4" s="1"/>
  <c r="Y12" i="1"/>
  <c r="I5" i="2" l="1"/>
  <c r="I6" i="2" s="1"/>
  <c r="I7" i="2" s="1"/>
  <c r="D30" i="2"/>
  <c r="D29" i="2"/>
  <c r="D28" i="2"/>
  <c r="D27" i="2"/>
  <c r="D26" i="2"/>
  <c r="D25" i="2"/>
  <c r="D24" i="2"/>
  <c r="D23" i="2"/>
  <c r="D22" i="2"/>
  <c r="D21" i="2"/>
  <c r="D18" i="2"/>
  <c r="D17" i="2"/>
  <c r="D20" i="2"/>
  <c r="D16" i="2"/>
  <c r="D15" i="2"/>
  <c r="D14" i="2"/>
  <c r="D13" i="2"/>
  <c r="D12" i="2"/>
  <c r="D11" i="2"/>
  <c r="D9" i="2"/>
  <c r="D8" i="2"/>
  <c r="D7" i="2"/>
  <c r="D6" i="2"/>
  <c r="D5" i="2"/>
  <c r="D4" i="2"/>
  <c r="I101" i="4"/>
  <c r="I99" i="4"/>
  <c r="I97" i="4"/>
  <c r="I95" i="4"/>
  <c r="I93" i="4"/>
  <c r="I91" i="4"/>
  <c r="I89" i="4"/>
  <c r="I87" i="4"/>
  <c r="I85" i="4"/>
  <c r="I83" i="4"/>
  <c r="I81" i="4"/>
  <c r="I79" i="4"/>
  <c r="I77" i="4"/>
  <c r="I75" i="4"/>
  <c r="I73" i="4"/>
  <c r="I71" i="4"/>
  <c r="I69" i="4"/>
  <c r="I67" i="4"/>
  <c r="I65" i="4"/>
  <c r="I63" i="4"/>
  <c r="I61" i="4"/>
  <c r="I59" i="4"/>
  <c r="I57" i="4"/>
  <c r="I55" i="4"/>
  <c r="I53" i="4"/>
  <c r="I51" i="4"/>
  <c r="I49" i="4"/>
  <c r="I47" i="4"/>
  <c r="I45" i="4"/>
  <c r="I43" i="4"/>
  <c r="I41" i="4"/>
  <c r="I39" i="4"/>
  <c r="I37" i="4"/>
  <c r="I35" i="4"/>
  <c r="I33" i="4"/>
  <c r="I31" i="4"/>
  <c r="I29" i="4"/>
  <c r="I27" i="4"/>
  <c r="I25" i="4"/>
  <c r="I23" i="4"/>
  <c r="I21" i="4"/>
  <c r="I19" i="4"/>
  <c r="I17" i="4"/>
  <c r="I15" i="4"/>
  <c r="I13" i="4"/>
  <c r="I11" i="4"/>
  <c r="I9" i="4"/>
  <c r="I7" i="4"/>
  <c r="I102" i="4"/>
  <c r="I100" i="4"/>
  <c r="I98" i="4"/>
  <c r="I96" i="4"/>
  <c r="I94" i="4"/>
  <c r="I92" i="4"/>
  <c r="I90" i="4"/>
  <c r="I88" i="4"/>
  <c r="I86" i="4"/>
  <c r="I84" i="4"/>
  <c r="I82" i="4"/>
  <c r="I80" i="4"/>
  <c r="I78" i="4"/>
  <c r="I76" i="4"/>
  <c r="I74" i="4"/>
  <c r="I72" i="4"/>
  <c r="I70" i="4"/>
  <c r="I68" i="4"/>
  <c r="I66" i="4"/>
  <c r="I64" i="4"/>
  <c r="I62" i="4"/>
  <c r="I60" i="4"/>
  <c r="I58" i="4"/>
  <c r="I56" i="4"/>
  <c r="I54" i="4"/>
  <c r="I52" i="4"/>
  <c r="I50" i="4"/>
  <c r="I48" i="4"/>
  <c r="I46" i="4"/>
  <c r="I44" i="4"/>
  <c r="I42" i="4"/>
  <c r="I40" i="4"/>
  <c r="I38" i="4"/>
  <c r="I36" i="4"/>
  <c r="I34" i="4"/>
  <c r="I32" i="4"/>
  <c r="I30" i="4"/>
  <c r="I28" i="4"/>
  <c r="I26" i="4"/>
  <c r="I24" i="4"/>
  <c r="I22" i="4"/>
  <c r="I20" i="4"/>
  <c r="I18" i="4"/>
  <c r="I16" i="4"/>
  <c r="I14" i="4"/>
  <c r="I12" i="4"/>
  <c r="I10" i="4"/>
  <c r="I8" i="4"/>
  <c r="I6" i="4"/>
  <c r="I5" i="4"/>
  <c r="I4" i="4"/>
  <c r="I3" i="4"/>
  <c r="I2" i="4"/>
  <c r="I22" i="2"/>
  <c r="I23" i="2"/>
  <c r="I17" i="2"/>
  <c r="I18" i="2" s="1"/>
  <c r="J2" i="4" l="1"/>
  <c r="K3" i="4"/>
  <c r="J4" i="4"/>
  <c r="L4" i="4" s="1"/>
  <c r="K5" i="4"/>
  <c r="J6" i="4"/>
  <c r="L6" i="4" s="1"/>
  <c r="K7" i="4"/>
  <c r="J8" i="4"/>
  <c r="L8" i="4" s="1"/>
  <c r="K9" i="4"/>
  <c r="J10" i="4"/>
  <c r="L10" i="4" s="1"/>
  <c r="K11" i="4"/>
  <c r="J12" i="4"/>
  <c r="L12" i="4" s="1"/>
  <c r="K13" i="4"/>
  <c r="J14" i="4"/>
  <c r="L14" i="4" s="1"/>
  <c r="K15" i="4"/>
  <c r="J16" i="4"/>
  <c r="L16" i="4" s="1"/>
  <c r="K17" i="4"/>
  <c r="J18" i="4"/>
  <c r="L18" i="4" s="1"/>
  <c r="K19" i="4"/>
  <c r="J20" i="4"/>
  <c r="L20" i="4" s="1"/>
  <c r="K21" i="4"/>
  <c r="J22" i="4"/>
  <c r="L22" i="4" s="1"/>
  <c r="J3" i="4"/>
  <c r="L3" i="4" s="1"/>
  <c r="K6" i="4"/>
  <c r="J7" i="4"/>
  <c r="L7" i="4" s="1"/>
  <c r="K10" i="4"/>
  <c r="J11" i="4"/>
  <c r="L11" i="4" s="1"/>
  <c r="K14" i="4"/>
  <c r="J15" i="4"/>
  <c r="L15" i="4" s="1"/>
  <c r="K18" i="4"/>
  <c r="J19" i="4"/>
  <c r="L19" i="4" s="1"/>
  <c r="K22" i="4"/>
  <c r="K23" i="4"/>
  <c r="J24" i="4"/>
  <c r="L24" i="4" s="1"/>
  <c r="K25" i="4"/>
  <c r="J26" i="4"/>
  <c r="L26" i="4" s="1"/>
  <c r="K27" i="4"/>
  <c r="J28" i="4"/>
  <c r="L28" i="4" s="1"/>
  <c r="K29" i="4"/>
  <c r="J30" i="4"/>
  <c r="L30" i="4" s="1"/>
  <c r="K31" i="4"/>
  <c r="J32" i="4"/>
  <c r="L32" i="4" s="1"/>
  <c r="K33" i="4"/>
  <c r="J34" i="4"/>
  <c r="L34" i="4" s="1"/>
  <c r="K35" i="4"/>
  <c r="J36" i="4"/>
  <c r="L36" i="4" s="1"/>
  <c r="K37" i="4"/>
  <c r="J38" i="4"/>
  <c r="L38" i="4" s="1"/>
  <c r="K39" i="4"/>
  <c r="J40" i="4"/>
  <c r="L40" i="4" s="1"/>
  <c r="K41" i="4"/>
  <c r="J42" i="4"/>
  <c r="L42" i="4" s="1"/>
  <c r="K43" i="4"/>
  <c r="J44" i="4"/>
  <c r="L44" i="4" s="1"/>
  <c r="K45" i="4"/>
  <c r="J46" i="4"/>
  <c r="L46" i="4" s="1"/>
  <c r="K47" i="4"/>
  <c r="J48" i="4"/>
  <c r="L48" i="4" s="1"/>
  <c r="K49" i="4"/>
  <c r="J50" i="4"/>
  <c r="L50" i="4" s="1"/>
  <c r="K51" i="4"/>
  <c r="J52" i="4"/>
  <c r="L52" i="4" s="1"/>
  <c r="K4" i="4"/>
  <c r="J5" i="4"/>
  <c r="L5" i="4" s="1"/>
  <c r="K8" i="4"/>
  <c r="J9" i="4"/>
  <c r="L9" i="4" s="1"/>
  <c r="K12" i="4"/>
  <c r="J13" i="4"/>
  <c r="L13" i="4" s="1"/>
  <c r="K16" i="4"/>
  <c r="J17" i="4"/>
  <c r="L17" i="4" s="1"/>
  <c r="K20" i="4"/>
  <c r="J21" i="4"/>
  <c r="L21" i="4" s="1"/>
  <c r="J23" i="4"/>
  <c r="L23" i="4" s="1"/>
  <c r="K26" i="4"/>
  <c r="J27" i="4"/>
  <c r="L27" i="4" s="1"/>
  <c r="K30" i="4"/>
  <c r="J31" i="4"/>
  <c r="L31" i="4" s="1"/>
  <c r="K34" i="4"/>
  <c r="J35" i="4"/>
  <c r="L35" i="4" s="1"/>
  <c r="K38" i="4"/>
  <c r="J39" i="4"/>
  <c r="L39" i="4" s="1"/>
  <c r="K42" i="4"/>
  <c r="J43" i="4"/>
  <c r="L43" i="4" s="1"/>
  <c r="K46" i="4"/>
  <c r="J47" i="4"/>
  <c r="L47" i="4" s="1"/>
  <c r="K50" i="4"/>
  <c r="J51" i="4"/>
  <c r="L51" i="4" s="1"/>
  <c r="J53" i="4"/>
  <c r="L53" i="4" s="1"/>
  <c r="K54" i="4"/>
  <c r="J55" i="4"/>
  <c r="L55" i="4" s="1"/>
  <c r="K56" i="4"/>
  <c r="J57" i="4"/>
  <c r="L57" i="4" s="1"/>
  <c r="K58" i="4"/>
  <c r="J59" i="4"/>
  <c r="L59" i="4" s="1"/>
  <c r="K60" i="4"/>
  <c r="J61" i="4"/>
  <c r="L61" i="4" s="1"/>
  <c r="K62" i="4"/>
  <c r="J63" i="4"/>
  <c r="L63" i="4" s="1"/>
  <c r="K64" i="4"/>
  <c r="J65" i="4"/>
  <c r="L65" i="4" s="1"/>
  <c r="K66" i="4"/>
  <c r="J67" i="4"/>
  <c r="L67" i="4" s="1"/>
  <c r="K68" i="4"/>
  <c r="J69" i="4"/>
  <c r="L69" i="4" s="1"/>
  <c r="K70" i="4"/>
  <c r="J71" i="4"/>
  <c r="L71" i="4" s="1"/>
  <c r="K72" i="4"/>
  <c r="J73" i="4"/>
  <c r="L73" i="4" s="1"/>
  <c r="K74" i="4"/>
  <c r="J75" i="4"/>
  <c r="L75" i="4" s="1"/>
  <c r="K76" i="4"/>
  <c r="J77" i="4"/>
  <c r="L77" i="4" s="1"/>
  <c r="K78" i="4"/>
  <c r="J79" i="4"/>
  <c r="L79" i="4" s="1"/>
  <c r="K80" i="4"/>
  <c r="J81" i="4"/>
  <c r="L81" i="4" s="1"/>
  <c r="K82" i="4"/>
  <c r="J83" i="4"/>
  <c r="L83" i="4" s="1"/>
  <c r="K84" i="4"/>
  <c r="J85" i="4"/>
  <c r="L85" i="4" s="1"/>
  <c r="K86" i="4"/>
  <c r="J87" i="4"/>
  <c r="L87" i="4" s="1"/>
  <c r="K88" i="4"/>
  <c r="J89" i="4"/>
  <c r="L89" i="4" s="1"/>
  <c r="K90" i="4"/>
  <c r="J91" i="4"/>
  <c r="L91" i="4" s="1"/>
  <c r="K92" i="4"/>
  <c r="J93" i="4"/>
  <c r="L93" i="4" s="1"/>
  <c r="K94" i="4"/>
  <c r="J95" i="4"/>
  <c r="L95" i="4" s="1"/>
  <c r="K96" i="4"/>
  <c r="J97" i="4"/>
  <c r="L97" i="4" s="1"/>
  <c r="K98" i="4"/>
  <c r="J99" i="4"/>
  <c r="L99" i="4" s="1"/>
  <c r="K100" i="4"/>
  <c r="J101" i="4"/>
  <c r="L101" i="4" s="1"/>
  <c r="K102" i="4"/>
  <c r="K24" i="4"/>
  <c r="J25" i="4"/>
  <c r="L25" i="4" s="1"/>
  <c r="K28" i="4"/>
  <c r="J29" i="4"/>
  <c r="L29" i="4" s="1"/>
  <c r="K32" i="4"/>
  <c r="J33" i="4"/>
  <c r="L33" i="4" s="1"/>
  <c r="K36" i="4"/>
  <c r="J37" i="4"/>
  <c r="L37" i="4" s="1"/>
  <c r="K53" i="4"/>
  <c r="J54" i="4"/>
  <c r="L54" i="4" s="1"/>
  <c r="K57" i="4"/>
  <c r="J58" i="4"/>
  <c r="L58" i="4" s="1"/>
  <c r="K61" i="4"/>
  <c r="J62" i="4"/>
  <c r="L62" i="4" s="1"/>
  <c r="K65" i="4"/>
  <c r="J66" i="4"/>
  <c r="L66" i="4" s="1"/>
  <c r="K69" i="4"/>
  <c r="J70" i="4"/>
  <c r="L70" i="4" s="1"/>
  <c r="K73" i="4"/>
  <c r="J74" i="4"/>
  <c r="L74" i="4" s="1"/>
  <c r="K77" i="4"/>
  <c r="J78" i="4"/>
  <c r="L78" i="4" s="1"/>
  <c r="K81" i="4"/>
  <c r="J82" i="4"/>
  <c r="L82" i="4" s="1"/>
  <c r="K85" i="4"/>
  <c r="J86" i="4"/>
  <c r="L86" i="4" s="1"/>
  <c r="K89" i="4"/>
  <c r="J90" i="4"/>
  <c r="L90" i="4" s="1"/>
  <c r="K93" i="4"/>
  <c r="J94" i="4"/>
  <c r="L94" i="4" s="1"/>
  <c r="K97" i="4"/>
  <c r="J98" i="4"/>
  <c r="L98" i="4" s="1"/>
  <c r="K101" i="4"/>
  <c r="J102" i="4"/>
  <c r="L102" i="4" s="1"/>
  <c r="K40" i="4"/>
  <c r="J41" i="4"/>
  <c r="L41" i="4" s="1"/>
  <c r="K44" i="4"/>
  <c r="J45" i="4"/>
  <c r="L45" i="4" s="1"/>
  <c r="K48" i="4"/>
  <c r="J49" i="4"/>
  <c r="L49" i="4" s="1"/>
  <c r="K52" i="4"/>
  <c r="K55" i="4"/>
  <c r="J56" i="4"/>
  <c r="L56" i="4" s="1"/>
  <c r="K59" i="4"/>
  <c r="J60" i="4"/>
  <c r="L60" i="4" s="1"/>
  <c r="K63" i="4"/>
  <c r="J64" i="4"/>
  <c r="L64" i="4" s="1"/>
  <c r="K67" i="4"/>
  <c r="J68" i="4"/>
  <c r="L68" i="4" s="1"/>
  <c r="K71" i="4"/>
  <c r="J72" i="4"/>
  <c r="L72" i="4" s="1"/>
  <c r="K75" i="4"/>
  <c r="J80" i="4"/>
  <c r="L80" i="4" s="1"/>
  <c r="K83" i="4"/>
  <c r="J84" i="4"/>
  <c r="L84" i="4" s="1"/>
  <c r="J88" i="4"/>
  <c r="L88" i="4" s="1"/>
  <c r="K91" i="4"/>
  <c r="J92" i="4"/>
  <c r="L92" i="4" s="1"/>
  <c r="K95" i="4"/>
  <c r="J96" i="4"/>
  <c r="L96" i="4" s="1"/>
  <c r="J100" i="4"/>
  <c r="L100" i="4" s="1"/>
  <c r="J76" i="4"/>
  <c r="L76" i="4" s="1"/>
  <c r="K79" i="4"/>
  <c r="K87" i="4"/>
  <c r="K99" i="4"/>
  <c r="K2" i="4"/>
  <c r="L2" i="4"/>
  <c r="S12" i="1"/>
  <c r="S11" i="1"/>
  <c r="I24" i="2"/>
  <c r="I25" i="2"/>
  <c r="I19" i="2"/>
  <c r="M47" i="4" l="1"/>
  <c r="N47" i="4" s="1"/>
  <c r="P47" i="4" s="1"/>
  <c r="Q47" i="4" s="1"/>
  <c r="M39" i="4"/>
  <c r="N39" i="4" s="1"/>
  <c r="P39" i="4" s="1"/>
  <c r="Q39" i="4" s="1"/>
  <c r="M31" i="4"/>
  <c r="N31" i="4" s="1"/>
  <c r="P31" i="4" s="1"/>
  <c r="Q31" i="4" s="1"/>
  <c r="M23" i="4"/>
  <c r="N23" i="4" s="1"/>
  <c r="P23" i="4" s="1"/>
  <c r="Q23" i="4" s="1"/>
  <c r="M73" i="4"/>
  <c r="N73" i="4" s="1"/>
  <c r="P73" i="4" s="1"/>
  <c r="Q73" i="4" s="1"/>
  <c r="M32" i="4"/>
  <c r="N32" i="4" s="1"/>
  <c r="P32" i="4" s="1"/>
  <c r="Q32" i="4" s="1"/>
  <c r="M24" i="4"/>
  <c r="N24" i="4" s="1"/>
  <c r="P24" i="4" s="1"/>
  <c r="Q24" i="4" s="1"/>
  <c r="M95" i="4"/>
  <c r="N95" i="4" s="1"/>
  <c r="P95" i="4" s="1"/>
  <c r="Q95" i="4" s="1"/>
  <c r="M75" i="4"/>
  <c r="N75" i="4" s="1"/>
  <c r="P75" i="4" s="1"/>
  <c r="Q75" i="4" s="1"/>
  <c r="M67" i="4"/>
  <c r="N67" i="4" s="1"/>
  <c r="P67" i="4" s="1"/>
  <c r="Q67" i="4" s="1"/>
  <c r="M59" i="4"/>
  <c r="N59" i="4" s="1"/>
  <c r="P59" i="4" s="1"/>
  <c r="Q59" i="4" s="1"/>
  <c r="M97" i="4"/>
  <c r="N97" i="4" s="1"/>
  <c r="P97" i="4" s="1"/>
  <c r="Q97" i="4" s="1"/>
  <c r="M89" i="4"/>
  <c r="N89" i="4" s="1"/>
  <c r="P89" i="4" s="1"/>
  <c r="Q89" i="4" s="1"/>
  <c r="M81" i="4"/>
  <c r="N81" i="4" s="1"/>
  <c r="P81" i="4" s="1"/>
  <c r="Q81" i="4" s="1"/>
  <c r="M65" i="4"/>
  <c r="N65" i="4" s="1"/>
  <c r="P65" i="4" s="1"/>
  <c r="Q65" i="4" s="1"/>
  <c r="M57" i="4"/>
  <c r="N57" i="4" s="1"/>
  <c r="P57" i="4" s="1"/>
  <c r="Q57" i="4" s="1"/>
  <c r="M100" i="4"/>
  <c r="N100" i="4" s="1"/>
  <c r="P100" i="4" s="1"/>
  <c r="Q100" i="4" s="1"/>
  <c r="M96" i="4"/>
  <c r="N96" i="4" s="1"/>
  <c r="P96" i="4" s="1"/>
  <c r="Q96" i="4" s="1"/>
  <c r="M92" i="4"/>
  <c r="N92" i="4" s="1"/>
  <c r="P92" i="4" s="1"/>
  <c r="Q92" i="4" s="1"/>
  <c r="M88" i="4"/>
  <c r="N88" i="4" s="1"/>
  <c r="P88" i="4" s="1"/>
  <c r="Q88" i="4" s="1"/>
  <c r="M84" i="4"/>
  <c r="N84" i="4" s="1"/>
  <c r="P84" i="4" s="1"/>
  <c r="Q84" i="4" s="1"/>
  <c r="M80" i="4"/>
  <c r="N80" i="4" s="1"/>
  <c r="P80" i="4" s="1"/>
  <c r="Q80" i="4" s="1"/>
  <c r="M76" i="4"/>
  <c r="N76" i="4" s="1"/>
  <c r="P76" i="4" s="1"/>
  <c r="Q76" i="4" s="1"/>
  <c r="M72" i="4"/>
  <c r="N72" i="4" s="1"/>
  <c r="P72" i="4" s="1"/>
  <c r="Q72" i="4" s="1"/>
  <c r="M68" i="4"/>
  <c r="N68" i="4" s="1"/>
  <c r="P68" i="4" s="1"/>
  <c r="Q68" i="4" s="1"/>
  <c r="M64" i="4"/>
  <c r="N64" i="4" s="1"/>
  <c r="P64" i="4" s="1"/>
  <c r="Q64" i="4" s="1"/>
  <c r="M60" i="4"/>
  <c r="N60" i="4" s="1"/>
  <c r="P60" i="4" s="1"/>
  <c r="Q60" i="4" s="1"/>
  <c r="M56" i="4"/>
  <c r="N56" i="4" s="1"/>
  <c r="P56" i="4" s="1"/>
  <c r="Q56" i="4" s="1"/>
  <c r="M46" i="4"/>
  <c r="N46" i="4" s="1"/>
  <c r="P46" i="4" s="1"/>
  <c r="Q46" i="4" s="1"/>
  <c r="M38" i="4"/>
  <c r="N38" i="4" s="1"/>
  <c r="P38" i="4" s="1"/>
  <c r="Q38" i="4" s="1"/>
  <c r="M30" i="4"/>
  <c r="N30" i="4" s="1"/>
  <c r="P30" i="4" s="1"/>
  <c r="Q30" i="4" s="1"/>
  <c r="M51" i="4"/>
  <c r="N51" i="4" s="1"/>
  <c r="P51" i="4" s="1"/>
  <c r="Q51" i="4" s="1"/>
  <c r="M43" i="4"/>
  <c r="N43" i="4" s="1"/>
  <c r="P43" i="4" s="1"/>
  <c r="Q43" i="4" s="1"/>
  <c r="M35" i="4"/>
  <c r="N35" i="4" s="1"/>
  <c r="P35" i="4" s="1"/>
  <c r="Q35" i="4" s="1"/>
  <c r="M27" i="4"/>
  <c r="N27" i="4" s="1"/>
  <c r="P27" i="4" s="1"/>
  <c r="Q27" i="4" s="1"/>
  <c r="M22" i="4"/>
  <c r="N22" i="4" s="1"/>
  <c r="P22" i="4" s="1"/>
  <c r="Q22" i="4" s="1"/>
  <c r="M14" i="4"/>
  <c r="N14" i="4" s="1"/>
  <c r="P14" i="4" s="1"/>
  <c r="Q14" i="4" s="1"/>
  <c r="M6" i="4"/>
  <c r="N6" i="4" s="1"/>
  <c r="P6" i="4" s="1"/>
  <c r="Q6" i="4" s="1"/>
  <c r="M21" i="4"/>
  <c r="N21" i="4" s="1"/>
  <c r="P21" i="4" s="1"/>
  <c r="Q21" i="4" s="1"/>
  <c r="M17" i="4"/>
  <c r="N17" i="4" s="1"/>
  <c r="P17" i="4" s="1"/>
  <c r="Q17" i="4" s="1"/>
  <c r="M13" i="4"/>
  <c r="N13" i="4" s="1"/>
  <c r="P13" i="4" s="1"/>
  <c r="Q13" i="4" s="1"/>
  <c r="M9" i="4"/>
  <c r="N9" i="4" s="1"/>
  <c r="P9" i="4" s="1"/>
  <c r="Q9" i="4" s="1"/>
  <c r="M5" i="4"/>
  <c r="N5" i="4" s="1"/>
  <c r="P5" i="4" s="1"/>
  <c r="Q5" i="4" s="1"/>
  <c r="M99" i="4"/>
  <c r="N99" i="4" s="1"/>
  <c r="P99" i="4" s="1"/>
  <c r="Q99" i="4" s="1"/>
  <c r="M87" i="4"/>
  <c r="N87" i="4" s="1"/>
  <c r="P87" i="4" s="1"/>
  <c r="Q87" i="4" s="1"/>
  <c r="M79" i="4"/>
  <c r="N79" i="4" s="1"/>
  <c r="P79" i="4" s="1"/>
  <c r="Q79" i="4" s="1"/>
  <c r="M91" i="4"/>
  <c r="N91" i="4" s="1"/>
  <c r="P91" i="4" s="1"/>
  <c r="Q91" i="4" s="1"/>
  <c r="M83" i="4"/>
  <c r="N83" i="4" s="1"/>
  <c r="P83" i="4" s="1"/>
  <c r="Q83" i="4" s="1"/>
  <c r="M71" i="4"/>
  <c r="N71" i="4" s="1"/>
  <c r="P71" i="4" s="1"/>
  <c r="Q71" i="4" s="1"/>
  <c r="M63" i="4"/>
  <c r="N63" i="4" s="1"/>
  <c r="P63" i="4" s="1"/>
  <c r="Q63" i="4" s="1"/>
  <c r="M55" i="4"/>
  <c r="N55" i="4" s="1"/>
  <c r="P55" i="4" s="1"/>
  <c r="Q55" i="4" s="1"/>
  <c r="M52" i="4"/>
  <c r="N52" i="4" s="1"/>
  <c r="P52" i="4" s="1"/>
  <c r="Q52" i="4" s="1"/>
  <c r="M48" i="4"/>
  <c r="N48" i="4" s="1"/>
  <c r="P48" i="4" s="1"/>
  <c r="Q48" i="4" s="1"/>
  <c r="M44" i="4"/>
  <c r="N44" i="4" s="1"/>
  <c r="P44" i="4" s="1"/>
  <c r="Q44" i="4" s="1"/>
  <c r="M40" i="4"/>
  <c r="N40" i="4" s="1"/>
  <c r="P40" i="4" s="1"/>
  <c r="Q40" i="4" s="1"/>
  <c r="M101" i="4"/>
  <c r="N101" i="4" s="1"/>
  <c r="P101" i="4" s="1"/>
  <c r="Q101" i="4" s="1"/>
  <c r="M93" i="4"/>
  <c r="N93" i="4" s="1"/>
  <c r="P93" i="4" s="1"/>
  <c r="Q93" i="4" s="1"/>
  <c r="M85" i="4"/>
  <c r="N85" i="4" s="1"/>
  <c r="P85" i="4" s="1"/>
  <c r="Q85" i="4" s="1"/>
  <c r="M77" i="4"/>
  <c r="N77" i="4" s="1"/>
  <c r="P77" i="4" s="1"/>
  <c r="Q77" i="4" s="1"/>
  <c r="M69" i="4"/>
  <c r="N69" i="4" s="1"/>
  <c r="P69" i="4" s="1"/>
  <c r="Q69" i="4" s="1"/>
  <c r="M61" i="4"/>
  <c r="N61" i="4" s="1"/>
  <c r="P61" i="4" s="1"/>
  <c r="Q61" i="4" s="1"/>
  <c r="M53" i="4"/>
  <c r="N53" i="4" s="1"/>
  <c r="P53" i="4" s="1"/>
  <c r="Q53" i="4" s="1"/>
  <c r="M36" i="4"/>
  <c r="N36" i="4" s="1"/>
  <c r="P36" i="4" s="1"/>
  <c r="Q36" i="4" s="1"/>
  <c r="M28" i="4"/>
  <c r="N28" i="4" s="1"/>
  <c r="P28" i="4" s="1"/>
  <c r="Q28" i="4" s="1"/>
  <c r="M102" i="4"/>
  <c r="N102" i="4" s="1"/>
  <c r="P102" i="4" s="1"/>
  <c r="Q102" i="4" s="1"/>
  <c r="M98" i="4"/>
  <c r="N98" i="4" s="1"/>
  <c r="P98" i="4" s="1"/>
  <c r="Q98" i="4" s="1"/>
  <c r="M94" i="4"/>
  <c r="N94" i="4" s="1"/>
  <c r="P94" i="4" s="1"/>
  <c r="Q94" i="4" s="1"/>
  <c r="M90" i="4"/>
  <c r="N90" i="4" s="1"/>
  <c r="P90" i="4" s="1"/>
  <c r="Q90" i="4" s="1"/>
  <c r="M86" i="4"/>
  <c r="N86" i="4" s="1"/>
  <c r="P86" i="4" s="1"/>
  <c r="Q86" i="4" s="1"/>
  <c r="M82" i="4"/>
  <c r="N82" i="4" s="1"/>
  <c r="P82" i="4" s="1"/>
  <c r="Q82" i="4" s="1"/>
  <c r="M78" i="4"/>
  <c r="N78" i="4" s="1"/>
  <c r="P78" i="4" s="1"/>
  <c r="Q78" i="4" s="1"/>
  <c r="M74" i="4"/>
  <c r="N74" i="4" s="1"/>
  <c r="P74" i="4" s="1"/>
  <c r="Q74" i="4" s="1"/>
  <c r="M70" i="4"/>
  <c r="N70" i="4" s="1"/>
  <c r="P70" i="4" s="1"/>
  <c r="Q70" i="4" s="1"/>
  <c r="M66" i="4"/>
  <c r="N66" i="4" s="1"/>
  <c r="P66" i="4" s="1"/>
  <c r="Q66" i="4" s="1"/>
  <c r="M62" i="4"/>
  <c r="N62" i="4" s="1"/>
  <c r="P62" i="4" s="1"/>
  <c r="Q62" i="4" s="1"/>
  <c r="M58" i="4"/>
  <c r="N58" i="4" s="1"/>
  <c r="P58" i="4" s="1"/>
  <c r="Q58" i="4" s="1"/>
  <c r="M54" i="4"/>
  <c r="N54" i="4" s="1"/>
  <c r="P54" i="4" s="1"/>
  <c r="Q54" i="4" s="1"/>
  <c r="M50" i="4"/>
  <c r="N50" i="4" s="1"/>
  <c r="P50" i="4" s="1"/>
  <c r="Q50" i="4" s="1"/>
  <c r="M42" i="4"/>
  <c r="N42" i="4" s="1"/>
  <c r="P42" i="4" s="1"/>
  <c r="Q42" i="4" s="1"/>
  <c r="M34" i="4"/>
  <c r="N34" i="4" s="1"/>
  <c r="P34" i="4" s="1"/>
  <c r="Q34" i="4" s="1"/>
  <c r="M26" i="4"/>
  <c r="N26" i="4" s="1"/>
  <c r="P26" i="4" s="1"/>
  <c r="Q26" i="4" s="1"/>
  <c r="M20" i="4"/>
  <c r="N20" i="4" s="1"/>
  <c r="P20" i="4" s="1"/>
  <c r="Q20" i="4" s="1"/>
  <c r="M16" i="4"/>
  <c r="N16" i="4" s="1"/>
  <c r="P16" i="4" s="1"/>
  <c r="Q16" i="4" s="1"/>
  <c r="M12" i="4"/>
  <c r="N12" i="4" s="1"/>
  <c r="P12" i="4" s="1"/>
  <c r="Q12" i="4" s="1"/>
  <c r="M8" i="4"/>
  <c r="N8" i="4" s="1"/>
  <c r="P8" i="4" s="1"/>
  <c r="Q8" i="4" s="1"/>
  <c r="M4" i="4"/>
  <c r="N4" i="4" s="1"/>
  <c r="P4" i="4" s="1"/>
  <c r="Q4" i="4" s="1"/>
  <c r="M49" i="4"/>
  <c r="N49" i="4" s="1"/>
  <c r="P49" i="4" s="1"/>
  <c r="Q49" i="4" s="1"/>
  <c r="M45" i="4"/>
  <c r="N45" i="4" s="1"/>
  <c r="P45" i="4" s="1"/>
  <c r="Q45" i="4" s="1"/>
  <c r="M41" i="4"/>
  <c r="N41" i="4" s="1"/>
  <c r="P41" i="4" s="1"/>
  <c r="Q41" i="4" s="1"/>
  <c r="M37" i="4"/>
  <c r="N37" i="4" s="1"/>
  <c r="P37" i="4" s="1"/>
  <c r="Q37" i="4" s="1"/>
  <c r="M33" i="4"/>
  <c r="N33" i="4" s="1"/>
  <c r="P33" i="4" s="1"/>
  <c r="Q33" i="4" s="1"/>
  <c r="M29" i="4"/>
  <c r="N29" i="4" s="1"/>
  <c r="P29" i="4" s="1"/>
  <c r="Q29" i="4" s="1"/>
  <c r="M25" i="4"/>
  <c r="N25" i="4" s="1"/>
  <c r="P25" i="4" s="1"/>
  <c r="Q25" i="4" s="1"/>
  <c r="M18" i="4"/>
  <c r="N18" i="4" s="1"/>
  <c r="P18" i="4" s="1"/>
  <c r="Q18" i="4" s="1"/>
  <c r="M10" i="4"/>
  <c r="N10" i="4" s="1"/>
  <c r="P10" i="4" s="1"/>
  <c r="Q10" i="4" s="1"/>
  <c r="M19" i="4"/>
  <c r="N19" i="4" s="1"/>
  <c r="P19" i="4" s="1"/>
  <c r="Q19" i="4" s="1"/>
  <c r="M15" i="4"/>
  <c r="N15" i="4" s="1"/>
  <c r="P15" i="4" s="1"/>
  <c r="Q15" i="4" s="1"/>
  <c r="M11" i="4"/>
  <c r="N11" i="4" s="1"/>
  <c r="P11" i="4" s="1"/>
  <c r="Q11" i="4" s="1"/>
  <c r="M7" i="4"/>
  <c r="N7" i="4" s="1"/>
  <c r="P7" i="4" s="1"/>
  <c r="Q7" i="4" s="1"/>
  <c r="M3" i="4"/>
  <c r="N3" i="4" s="1"/>
  <c r="P3" i="4" s="1"/>
  <c r="Q3" i="4" s="1"/>
  <c r="M2" i="4"/>
  <c r="N2" i="4" s="1"/>
  <c r="P2" i="4" s="1"/>
  <c r="Q2" i="4" s="1"/>
  <c r="Y11" i="1"/>
  <c r="W12" i="1"/>
  <c r="W11" i="1"/>
  <c r="U12" i="1"/>
  <c r="U11" i="1"/>
  <c r="I20" i="2"/>
  <c r="R3" i="4" l="1"/>
  <c r="S3" i="4"/>
  <c r="R11" i="4"/>
  <c r="S11" i="4"/>
  <c r="R19" i="4"/>
  <c r="S19" i="4"/>
  <c r="R18" i="4"/>
  <c r="S18" i="4"/>
  <c r="R29" i="4"/>
  <c r="S29" i="4"/>
  <c r="R37" i="4"/>
  <c r="S37" i="4"/>
  <c r="R45" i="4"/>
  <c r="S45" i="4"/>
  <c r="R4" i="4"/>
  <c r="S4" i="4"/>
  <c r="R12" i="4"/>
  <c r="S12" i="4"/>
  <c r="R20" i="4"/>
  <c r="S20" i="4"/>
  <c r="R34" i="4"/>
  <c r="S34" i="4"/>
  <c r="R50" i="4"/>
  <c r="S50" i="4"/>
  <c r="R58" i="4"/>
  <c r="S58" i="4"/>
  <c r="R66" i="4"/>
  <c r="S66" i="4"/>
  <c r="R74" i="4"/>
  <c r="S74" i="4"/>
  <c r="R82" i="4"/>
  <c r="S82" i="4"/>
  <c r="R90" i="4"/>
  <c r="S90" i="4"/>
  <c r="R98" i="4"/>
  <c r="S98" i="4"/>
  <c r="R28" i="4"/>
  <c r="S28" i="4"/>
  <c r="R53" i="4"/>
  <c r="S53" i="4"/>
  <c r="R69" i="4"/>
  <c r="S69" i="4"/>
  <c r="R85" i="4"/>
  <c r="S85" i="4"/>
  <c r="R101" i="4"/>
  <c r="S101" i="4"/>
  <c r="R44" i="4"/>
  <c r="S44" i="4"/>
  <c r="R52" i="4"/>
  <c r="S52" i="4"/>
  <c r="R63" i="4"/>
  <c r="S63" i="4"/>
  <c r="R83" i="4"/>
  <c r="S83" i="4"/>
  <c r="R79" i="4"/>
  <c r="S79" i="4"/>
  <c r="R99" i="4"/>
  <c r="S99" i="4"/>
  <c r="R9" i="4"/>
  <c r="S9" i="4"/>
  <c r="R17" i="4"/>
  <c r="S17" i="4"/>
  <c r="R6" i="4"/>
  <c r="S6" i="4"/>
  <c r="R22" i="4"/>
  <c r="S22" i="4"/>
  <c r="R35" i="4"/>
  <c r="S35" i="4"/>
  <c r="R51" i="4"/>
  <c r="S51" i="4"/>
  <c r="R38" i="4"/>
  <c r="S38" i="4"/>
  <c r="R56" i="4"/>
  <c r="S56" i="4"/>
  <c r="R64" i="4"/>
  <c r="S64" i="4"/>
  <c r="R72" i="4"/>
  <c r="S72" i="4"/>
  <c r="R80" i="4"/>
  <c r="S80" i="4"/>
  <c r="R88" i="4"/>
  <c r="S88" i="4"/>
  <c r="R96" i="4"/>
  <c r="S96" i="4"/>
  <c r="R57" i="4"/>
  <c r="S57" i="4"/>
  <c r="R81" i="4"/>
  <c r="S81" i="4"/>
  <c r="R97" i="4"/>
  <c r="S97" i="4"/>
  <c r="R67" i="4"/>
  <c r="S67" i="4"/>
  <c r="R95" i="4"/>
  <c r="S95" i="4"/>
  <c r="R32" i="4"/>
  <c r="S32" i="4"/>
  <c r="R23" i="4"/>
  <c r="S23" i="4"/>
  <c r="R39" i="4"/>
  <c r="S39" i="4"/>
  <c r="R7" i="4"/>
  <c r="S7" i="4"/>
  <c r="R15" i="4"/>
  <c r="S15" i="4"/>
  <c r="R10" i="4"/>
  <c r="S10" i="4"/>
  <c r="R25" i="4"/>
  <c r="S25" i="4"/>
  <c r="R33" i="4"/>
  <c r="S33" i="4"/>
  <c r="R41" i="4"/>
  <c r="S41" i="4"/>
  <c r="R49" i="4"/>
  <c r="S49" i="4"/>
  <c r="R8" i="4"/>
  <c r="S8" i="4"/>
  <c r="R16" i="4"/>
  <c r="S16" i="4"/>
  <c r="R26" i="4"/>
  <c r="S26" i="4"/>
  <c r="R42" i="4"/>
  <c r="S42" i="4"/>
  <c r="R54" i="4"/>
  <c r="S54" i="4"/>
  <c r="R62" i="4"/>
  <c r="S62" i="4"/>
  <c r="R70" i="4"/>
  <c r="S70" i="4"/>
  <c r="R78" i="4"/>
  <c r="S78" i="4"/>
  <c r="R86" i="4"/>
  <c r="S86" i="4"/>
  <c r="R94" i="4"/>
  <c r="S94" i="4"/>
  <c r="R102" i="4"/>
  <c r="S102" i="4"/>
  <c r="R36" i="4"/>
  <c r="S36" i="4"/>
  <c r="R61" i="4"/>
  <c r="S61" i="4"/>
  <c r="R77" i="4"/>
  <c r="S77" i="4"/>
  <c r="R93" i="4"/>
  <c r="S93" i="4"/>
  <c r="R40" i="4"/>
  <c r="S40" i="4"/>
  <c r="R48" i="4"/>
  <c r="S48" i="4"/>
  <c r="R55" i="4"/>
  <c r="S55" i="4"/>
  <c r="R71" i="4"/>
  <c r="S71" i="4"/>
  <c r="R91" i="4"/>
  <c r="S91" i="4"/>
  <c r="R87" i="4"/>
  <c r="S87" i="4"/>
  <c r="R5" i="4"/>
  <c r="S5" i="4"/>
  <c r="R13" i="4"/>
  <c r="S13" i="4"/>
  <c r="R21" i="4"/>
  <c r="S21" i="4"/>
  <c r="R14" i="4"/>
  <c r="S14" i="4"/>
  <c r="R27" i="4"/>
  <c r="S27" i="4"/>
  <c r="R43" i="4"/>
  <c r="S43" i="4"/>
  <c r="R30" i="4"/>
  <c r="S30" i="4"/>
  <c r="R46" i="4"/>
  <c r="S46" i="4"/>
  <c r="R60" i="4"/>
  <c r="S60" i="4"/>
  <c r="R68" i="4"/>
  <c r="S68" i="4"/>
  <c r="R76" i="4"/>
  <c r="S76" i="4"/>
  <c r="R84" i="4"/>
  <c r="S84" i="4"/>
  <c r="R92" i="4"/>
  <c r="S92" i="4"/>
  <c r="R100" i="4"/>
  <c r="S100" i="4"/>
  <c r="R65" i="4"/>
  <c r="S65" i="4"/>
  <c r="R89" i="4"/>
  <c r="S89" i="4"/>
  <c r="R59" i="4"/>
  <c r="S59" i="4"/>
  <c r="R75" i="4"/>
  <c r="S75" i="4"/>
  <c r="R24" i="4"/>
  <c r="S24" i="4"/>
  <c r="R73" i="4"/>
  <c r="S73" i="4"/>
  <c r="R31" i="4"/>
  <c r="S31" i="4"/>
  <c r="R47" i="4"/>
  <c r="S47" i="4"/>
  <c r="R2" i="4"/>
  <c r="S2" i="4"/>
  <c r="I27" i="2"/>
  <c r="I28" i="2"/>
  <c r="I29" i="2" s="1"/>
  <c r="I30" i="2" s="1"/>
  <c r="O5" i="1"/>
  <c r="O6" i="1"/>
  <c r="O7" i="1"/>
  <c r="O8" i="1"/>
  <c r="O9" i="1"/>
  <c r="O11" i="1"/>
  <c r="O12" i="1"/>
  <c r="P5" i="1"/>
  <c r="Q5" i="1"/>
  <c r="P6" i="1"/>
  <c r="Q6" i="1"/>
  <c r="P7" i="1"/>
  <c r="Q7" i="1"/>
  <c r="P8" i="1"/>
  <c r="Q8" i="1"/>
  <c r="P9" i="1"/>
  <c r="Q9" i="1"/>
  <c r="P11" i="1"/>
  <c r="Q11" i="1"/>
  <c r="P12" i="1"/>
  <c r="Q12" i="1"/>
  <c r="Q4" i="1"/>
  <c r="P4" i="1"/>
  <c r="O4" i="1"/>
  <c r="N12" i="1"/>
  <c r="L12" i="1"/>
  <c r="N11" i="1"/>
  <c r="M11" i="1"/>
  <c r="N5" i="1"/>
  <c r="N6" i="1"/>
  <c r="N7" i="1"/>
  <c r="N8" i="1"/>
  <c r="N9" i="1"/>
  <c r="N4" i="1"/>
  <c r="K5" i="1"/>
  <c r="K6" i="1"/>
  <c r="K7" i="1"/>
  <c r="K8" i="1"/>
  <c r="K9" i="1"/>
  <c r="K4" i="1"/>
  <c r="M12" i="1"/>
  <c r="K12" i="1"/>
  <c r="K11" i="1"/>
  <c r="M9" i="1"/>
  <c r="M8" i="1"/>
  <c r="M4" i="1"/>
  <c r="M7" i="1"/>
  <c r="M6" i="1"/>
  <c r="M5" i="1"/>
</calcChain>
</file>

<file path=xl/comments1.xml><?xml version="1.0" encoding="utf-8"?>
<comments xmlns="http://schemas.openxmlformats.org/spreadsheetml/2006/main">
  <authors>
    <author>作成者</author>
  </authors>
  <commentList>
    <comment ref="O3" author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imagE/realE</t>
        </r>
      </text>
    </comment>
    <comment ref="P3" author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imagG/realG</t>
        </r>
      </text>
    </comment>
    <comment ref="Q3" author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imagK/realK</t>
        </r>
      </text>
    </comment>
    <comment ref="A4" author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Atalla, N., Panneton, R., &amp; Debergue, P. (1998). A mixed displacement-pressure formulation for poroelastic materials. The Journal of the Acoustical Society of America, 104(3), 1444. http://doi.org/10.1121/1.424355</t>
        </r>
      </text>
    </comment>
    <comment ref="K4" author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E = 2*G*(1+nu)</t>
        </r>
      </text>
    </comment>
    <comment ref="N4" author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K = 2*G*(1+nu) /3 /(1-2*nu)</t>
        </r>
      </text>
    </comment>
    <comment ref="A11" author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Jonckheere, S., Deckers, E., Van Genechten, B., Vandepitte, D., &amp; Desmet, W. (2013). A direct hybrid Finite Element - Wave Based Method for the steady-state analysis of acoustic cavities with poro-elastic damping layers using the coupled Helmholtz-Biot equations. Computer Methods in Applied Mechanics and Engineering, 263, 144–157. http://doi.org/10.1016/j.cma.2013.04.013</t>
        </r>
      </text>
    </comment>
    <comment ref="M11" author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G = E/ 2/(1+nu)</t>
        </r>
      </text>
    </comment>
    <comment ref="N11" author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K = E/ 3/(1-2*nu)</t>
        </r>
      </text>
    </comment>
    <comment ref="Y11" author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α = k/rho/cp</t>
        </r>
      </text>
    </comment>
    <comment ref="L12" author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nu = (E-2G) /2/G</t>
        </r>
      </text>
    </comment>
    <comment ref="N12" author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K = G*E /3/(3*G-E)</t>
        </r>
      </text>
    </comment>
  </commentList>
</comments>
</file>

<file path=xl/comments2.xml><?xml version="1.0" encoding="utf-8"?>
<comments xmlns="http://schemas.openxmlformats.org/spreadsheetml/2006/main">
  <authors>
    <author>作成者</author>
  </authors>
  <commentList>
    <comment ref="C16" author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imagE/realE</t>
        </r>
      </text>
    </comment>
    <comment ref="C17" author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imagG/realG</t>
        </r>
      </text>
    </comment>
    <comment ref="C18" authorId="0">
      <text>
        <r>
          <rPr>
            <b/>
            <sz val="9"/>
            <color indexed="81"/>
            <rFont val="ＭＳ Ｐゴシック"/>
            <family val="3"/>
            <charset val="128"/>
          </rPr>
          <t>作成者:</t>
        </r>
        <r>
          <rPr>
            <sz val="9"/>
            <color indexed="81"/>
            <rFont val="ＭＳ Ｐゴシック"/>
            <family val="3"/>
            <charset val="128"/>
          </rPr>
          <t xml:space="preserve">
imagK/realK</t>
        </r>
      </text>
    </comment>
  </commentList>
</comments>
</file>

<file path=xl/sharedStrings.xml><?xml version="1.0" encoding="utf-8"?>
<sst xmlns="http://schemas.openxmlformats.org/spreadsheetml/2006/main" count="275" uniqueCount="152">
  <si>
    <t>物質名</t>
    <rPh sb="0" eb="2">
      <t>ブッシツ</t>
    </rPh>
    <rPh sb="2" eb="3">
      <t>メイ</t>
    </rPh>
    <phoneticPr fontId="1"/>
  </si>
  <si>
    <t>参考文献</t>
    <rPh sb="0" eb="2">
      <t>サンコウ</t>
    </rPh>
    <rPh sb="2" eb="4">
      <t>ブンケン</t>
    </rPh>
    <phoneticPr fontId="1"/>
  </si>
  <si>
    <t>Glass wool</t>
    <phoneticPr fontId="1"/>
  </si>
  <si>
    <t>Blanket</t>
    <phoneticPr fontId="1"/>
  </si>
  <si>
    <t>Screen</t>
    <phoneticPr fontId="1"/>
  </si>
  <si>
    <t>Foam A</t>
    <phoneticPr fontId="1"/>
  </si>
  <si>
    <t>Foam B</t>
    <phoneticPr fontId="1"/>
  </si>
  <si>
    <t>Fiberglass</t>
    <phoneticPr fontId="1"/>
  </si>
  <si>
    <t>Atalla1998</t>
    <phoneticPr fontId="1"/>
  </si>
  <si>
    <t>Jonckheere2013</t>
    <phoneticPr fontId="1"/>
  </si>
  <si>
    <t>Carpet material</t>
    <phoneticPr fontId="1"/>
  </si>
  <si>
    <t>Polyurethane foam</t>
    <phoneticPr fontId="1"/>
  </si>
  <si>
    <t>Ref.</t>
    <phoneticPr fontId="1"/>
  </si>
  <si>
    <t>Material</t>
    <phoneticPr fontId="1"/>
  </si>
  <si>
    <t>porosity</t>
    <phoneticPr fontId="1"/>
  </si>
  <si>
    <t>流れ抵抗</t>
    <rPh sb="0" eb="1">
      <t>ナガ</t>
    </rPh>
    <rPh sb="2" eb="4">
      <t>テイコウ</t>
    </rPh>
    <phoneticPr fontId="1"/>
  </si>
  <si>
    <t>flow resistivity</t>
    <phoneticPr fontId="1"/>
  </si>
  <si>
    <t>迷路度</t>
    <rPh sb="0" eb="2">
      <t>メイロ</t>
    </rPh>
    <rPh sb="2" eb="3">
      <t>ド</t>
    </rPh>
    <phoneticPr fontId="1"/>
  </si>
  <si>
    <t>totuosity</t>
    <phoneticPr fontId="1"/>
  </si>
  <si>
    <t>粘性代表長さ</t>
    <rPh sb="0" eb="2">
      <t>ネンセイ</t>
    </rPh>
    <rPh sb="2" eb="4">
      <t>ダイヒョウ</t>
    </rPh>
    <rPh sb="4" eb="5">
      <t>ナガ</t>
    </rPh>
    <phoneticPr fontId="1"/>
  </si>
  <si>
    <t>viscous char. Length</t>
    <phoneticPr fontId="1"/>
  </si>
  <si>
    <t>温度代表長さ</t>
    <rPh sb="0" eb="2">
      <t>オンド</t>
    </rPh>
    <rPh sb="2" eb="4">
      <t>ダイヒョウ</t>
    </rPh>
    <rPh sb="4" eb="5">
      <t>ナガ</t>
    </rPh>
    <phoneticPr fontId="1"/>
  </si>
  <si>
    <t>thermal char. Length</t>
    <phoneticPr fontId="1"/>
  </si>
  <si>
    <t>ヤング率</t>
    <rPh sb="3" eb="4">
      <t>リツ</t>
    </rPh>
    <phoneticPr fontId="1"/>
  </si>
  <si>
    <t>Eoung modulus</t>
    <phoneticPr fontId="1"/>
  </si>
  <si>
    <t>ポアソン比</t>
    <rPh sb="4" eb="5">
      <t>ヒ</t>
    </rPh>
    <phoneticPr fontId="1"/>
  </si>
  <si>
    <t>厚さ</t>
    <rPh sb="0" eb="1">
      <t>アツ</t>
    </rPh>
    <phoneticPr fontId="1"/>
  </si>
  <si>
    <t>Thickness</t>
    <phoneticPr fontId="1"/>
  </si>
  <si>
    <t>[cm]</t>
    <phoneticPr fontId="1"/>
  </si>
  <si>
    <t>剪断弾性率</t>
    <rPh sb="0" eb="2">
      <t>センダン</t>
    </rPh>
    <rPh sb="2" eb="5">
      <t>ダンセイリツ</t>
    </rPh>
    <phoneticPr fontId="1"/>
  </si>
  <si>
    <t>体積弾性率</t>
    <rPh sb="0" eb="2">
      <t>タイセキ</t>
    </rPh>
    <rPh sb="2" eb="5">
      <t>ダンセイリツ</t>
    </rPh>
    <phoneticPr fontId="1"/>
  </si>
  <si>
    <t>shear modulus</t>
    <phoneticPr fontId="1"/>
  </si>
  <si>
    <t>bulk modulus</t>
    <phoneticPr fontId="1"/>
  </si>
  <si>
    <t>充填密度</t>
    <rPh sb="0" eb="2">
      <t>ジュウテン</t>
    </rPh>
    <rPh sb="2" eb="4">
      <t>ミツド</t>
    </rPh>
    <phoneticPr fontId="1"/>
  </si>
  <si>
    <t>bulk density</t>
    <phoneticPr fontId="1"/>
  </si>
  <si>
    <t>気体密度</t>
    <rPh sb="0" eb="2">
      <t>キタイ</t>
    </rPh>
    <rPh sb="2" eb="4">
      <t>ミツド</t>
    </rPh>
    <phoneticPr fontId="1"/>
  </si>
  <si>
    <t>air density</t>
    <phoneticPr fontId="1"/>
  </si>
  <si>
    <t>粘度</t>
    <rPh sb="0" eb="2">
      <t>ネンド</t>
    </rPh>
    <phoneticPr fontId="1"/>
  </si>
  <si>
    <t>動粘度</t>
    <rPh sb="0" eb="3">
      <t>ドウネンド</t>
    </rPh>
    <phoneticPr fontId="1"/>
  </si>
  <si>
    <t>kinetic viscosity</t>
    <phoneticPr fontId="1"/>
  </si>
  <si>
    <t>空隙率</t>
    <rPh sb="0" eb="2">
      <t>クウゲキ</t>
    </rPh>
    <rPh sb="2" eb="3">
      <t>リツ</t>
    </rPh>
    <phoneticPr fontId="1"/>
  </si>
  <si>
    <t>気圧</t>
    <rPh sb="0" eb="2">
      <t>キアツ</t>
    </rPh>
    <phoneticPr fontId="1"/>
  </si>
  <si>
    <t>pressure</t>
    <phoneticPr fontId="1"/>
  </si>
  <si>
    <t>比熱比</t>
    <rPh sb="0" eb="2">
      <t>ヒネツ</t>
    </rPh>
    <rPh sb="2" eb="3">
      <t>ヒ</t>
    </rPh>
    <phoneticPr fontId="1"/>
  </si>
  <si>
    <t>specific heat ratio</t>
    <phoneticPr fontId="1"/>
  </si>
  <si>
    <t>温度拡散率</t>
    <rPh sb="0" eb="2">
      <t>オンド</t>
    </rPh>
    <rPh sb="2" eb="4">
      <t>カクサン</t>
    </rPh>
    <rPh sb="4" eb="5">
      <t>リツ</t>
    </rPh>
    <phoneticPr fontId="1"/>
  </si>
  <si>
    <t>thermal diffusivity</t>
    <phoneticPr fontId="1"/>
  </si>
  <si>
    <t>[Pa]</t>
    <phoneticPr fontId="1"/>
  </si>
  <si>
    <t>[Pa]</t>
    <phoneticPr fontId="1"/>
  </si>
  <si>
    <t>[-]</t>
    <phoneticPr fontId="1"/>
  </si>
  <si>
    <t>[Kg/m3]</t>
    <phoneticPr fontId="1"/>
  </si>
  <si>
    <t>ガス定数</t>
    <rPh sb="2" eb="4">
      <t>テイスウ</t>
    </rPh>
    <phoneticPr fontId="1"/>
  </si>
  <si>
    <t>温度</t>
    <rPh sb="0" eb="2">
      <t>オンド</t>
    </rPh>
    <phoneticPr fontId="1"/>
  </si>
  <si>
    <t>Gas constant</t>
    <phoneticPr fontId="1"/>
  </si>
  <si>
    <t>Temperature</t>
    <phoneticPr fontId="1"/>
  </si>
  <si>
    <t>定圧比熱</t>
    <rPh sb="0" eb="2">
      <t>テイアツ</t>
    </rPh>
    <rPh sb="2" eb="4">
      <t>ヒネツ</t>
    </rPh>
    <phoneticPr fontId="1"/>
  </si>
  <si>
    <t>Specific heat</t>
    <phoneticPr fontId="1"/>
  </si>
  <si>
    <t>[J/kg K]</t>
    <phoneticPr fontId="1"/>
  </si>
  <si>
    <t>[Kg/m3]</t>
    <phoneticPr fontId="1"/>
  </si>
  <si>
    <t>20 OR 2.5</t>
    <phoneticPr fontId="1"/>
  </si>
  <si>
    <t>[Kg/m3 s]</t>
    <phoneticPr fontId="1"/>
  </si>
  <si>
    <t>[m]</t>
    <phoneticPr fontId="1"/>
  </si>
  <si>
    <t>[-]</t>
    <phoneticPr fontId="1"/>
  </si>
  <si>
    <t>[T]</t>
    <phoneticPr fontId="1"/>
  </si>
  <si>
    <t>[m2/s]</t>
    <phoneticPr fontId="1"/>
  </si>
  <si>
    <t>[Pa]</t>
    <phoneticPr fontId="1"/>
  </si>
  <si>
    <t>熱伝導率</t>
    <rPh sb="0" eb="1">
      <t>ネツ</t>
    </rPh>
    <rPh sb="1" eb="4">
      <t>デンドウリツ</t>
    </rPh>
    <phoneticPr fontId="1"/>
  </si>
  <si>
    <t>thermal conductivity</t>
    <phoneticPr fontId="1"/>
  </si>
  <si>
    <t>[W/m K]</t>
    <phoneticPr fontId="1"/>
  </si>
  <si>
    <t>[m2/s2 K]</t>
    <phoneticPr fontId="1"/>
  </si>
  <si>
    <t>[m2/s]</t>
    <phoneticPr fontId="1"/>
  </si>
  <si>
    <t>[Pa s]</t>
    <phoneticPr fontId="1"/>
  </si>
  <si>
    <t>viscosity</t>
    <phoneticPr fontId="1"/>
  </si>
  <si>
    <t>loss factor</t>
    <phoneticPr fontId="1"/>
  </si>
  <si>
    <t>減衰係数</t>
    <rPh sb="0" eb="2">
      <t>ゲンスイ</t>
    </rPh>
    <rPh sb="2" eb="4">
      <t>ケイスウ</t>
    </rPh>
    <phoneticPr fontId="1"/>
  </si>
  <si>
    <t>(biotFE-WBM)</t>
    <phoneticPr fontId="1"/>
  </si>
  <si>
    <t>(biotFEM)</t>
    <phoneticPr fontId="1"/>
  </si>
  <si>
    <t>音速</t>
    <rPh sb="0" eb="2">
      <t>オンソク</t>
    </rPh>
    <phoneticPr fontId="1"/>
  </si>
  <si>
    <t>acoustic speed</t>
    <phoneticPr fontId="1"/>
  </si>
  <si>
    <t>[m/s]</t>
    <phoneticPr fontId="1"/>
  </si>
  <si>
    <t>GT</t>
    <phoneticPr fontId="1"/>
  </si>
  <si>
    <t>物質選択</t>
    <rPh sb="0" eb="2">
      <t>ブッシツ</t>
    </rPh>
    <rPh sb="2" eb="4">
      <t>センタク</t>
    </rPh>
    <phoneticPr fontId="1"/>
  </si>
  <si>
    <t>音速</t>
    <rPh sb="0" eb="2">
      <t>オンソク</t>
    </rPh>
    <phoneticPr fontId="1"/>
  </si>
  <si>
    <t>気体密度</t>
    <rPh sb="0" eb="2">
      <t>キタイ</t>
    </rPh>
    <rPh sb="2" eb="4">
      <t>ミツド</t>
    </rPh>
    <phoneticPr fontId="1"/>
  </si>
  <si>
    <t>粘度</t>
    <rPh sb="0" eb="2">
      <t>ネンド</t>
    </rPh>
    <phoneticPr fontId="1"/>
  </si>
  <si>
    <t>動粘度</t>
    <rPh sb="0" eb="3">
      <t>ドウネンド</t>
    </rPh>
    <phoneticPr fontId="1"/>
  </si>
  <si>
    <t>気圧</t>
    <rPh sb="0" eb="2">
      <t>キアツ</t>
    </rPh>
    <phoneticPr fontId="1"/>
  </si>
  <si>
    <t>比熱比</t>
    <rPh sb="0" eb="2">
      <t>ヒネツ</t>
    </rPh>
    <rPh sb="2" eb="3">
      <t>ヒ</t>
    </rPh>
    <phoneticPr fontId="1"/>
  </si>
  <si>
    <t>温度拡散率</t>
    <rPh sb="0" eb="2">
      <t>オンド</t>
    </rPh>
    <rPh sb="2" eb="4">
      <t>カクサン</t>
    </rPh>
    <rPh sb="4" eb="5">
      <t>リツ</t>
    </rPh>
    <phoneticPr fontId="1"/>
  </si>
  <si>
    <t>周波数</t>
    <rPh sb="0" eb="3">
      <t>シュウハスウ</t>
    </rPh>
    <phoneticPr fontId="1"/>
  </si>
  <si>
    <t>GV</t>
    <phoneticPr fontId="1"/>
  </si>
  <si>
    <t>実効密度</t>
    <rPh sb="0" eb="2">
      <t>ジッコウ</t>
    </rPh>
    <rPh sb="2" eb="4">
      <t>ミツド</t>
    </rPh>
    <phoneticPr fontId="1"/>
  </si>
  <si>
    <t>静温度透過率</t>
    <rPh sb="0" eb="1">
      <t>セイ</t>
    </rPh>
    <rPh sb="1" eb="3">
      <t>オンド</t>
    </rPh>
    <rPh sb="3" eb="6">
      <t>トウカリツ</t>
    </rPh>
    <phoneticPr fontId="1"/>
  </si>
  <si>
    <t>動（温度）迷路度</t>
    <rPh sb="0" eb="1">
      <t>ドウ</t>
    </rPh>
    <rPh sb="2" eb="4">
      <t>オンド</t>
    </rPh>
    <rPh sb="5" eb="7">
      <t>メイロ</t>
    </rPh>
    <rPh sb="7" eb="8">
      <t>ド</t>
    </rPh>
    <phoneticPr fontId="1"/>
  </si>
  <si>
    <t>静粘性透過率</t>
    <rPh sb="0" eb="1">
      <t>セイ</t>
    </rPh>
    <rPh sb="1" eb="3">
      <t>ネンセイ</t>
    </rPh>
    <rPh sb="3" eb="6">
      <t>トウカリツ</t>
    </rPh>
    <phoneticPr fontId="1"/>
  </si>
  <si>
    <t>動（粘性）迷路度</t>
    <rPh sb="0" eb="1">
      <t>ドウ</t>
    </rPh>
    <rPh sb="2" eb="4">
      <t>ネンセイ</t>
    </rPh>
    <rPh sb="5" eb="7">
      <t>メイロ</t>
    </rPh>
    <rPh sb="7" eb="8">
      <t>ド</t>
    </rPh>
    <phoneticPr fontId="1"/>
  </si>
  <si>
    <t>実効体積弾性率</t>
    <rPh sb="0" eb="2">
      <t>ジッコウ</t>
    </rPh>
    <rPh sb="2" eb="4">
      <t>タイセキ</t>
    </rPh>
    <rPh sb="4" eb="7">
      <t>ダンセイリツ</t>
    </rPh>
    <phoneticPr fontId="1"/>
  </si>
  <si>
    <t>特性インピーダンス</t>
    <rPh sb="0" eb="2">
      <t>トクセイ</t>
    </rPh>
    <phoneticPr fontId="1"/>
  </si>
  <si>
    <t>&lt;=Select</t>
    <phoneticPr fontId="1"/>
  </si>
  <si>
    <t>音響波数</t>
    <rPh sb="0" eb="2">
      <t>オンキョウ</t>
    </rPh>
    <rPh sb="2" eb="4">
      <t>ハスウ</t>
    </rPh>
    <phoneticPr fontId="1"/>
  </si>
  <si>
    <t>吸音材波数</t>
    <rPh sb="0" eb="2">
      <t>キュウオン</t>
    </rPh>
    <rPh sb="2" eb="3">
      <t>ザイ</t>
    </rPh>
    <rPh sb="3" eb="5">
      <t>ハスウ</t>
    </rPh>
    <phoneticPr fontId="1"/>
  </si>
  <si>
    <t>音響波長</t>
    <rPh sb="0" eb="2">
      <t>オンキョウ</t>
    </rPh>
    <rPh sb="2" eb="4">
      <t>ハチョウ</t>
    </rPh>
    <phoneticPr fontId="1"/>
  </si>
  <si>
    <t>吸音材波長</t>
    <rPh sb="0" eb="2">
      <t>キュウオン</t>
    </rPh>
    <rPh sb="2" eb="3">
      <t>ザイ</t>
    </rPh>
    <rPh sb="3" eb="5">
      <t>ハチョウ</t>
    </rPh>
    <phoneticPr fontId="1"/>
  </si>
  <si>
    <t>※波数実部で計算</t>
    <rPh sb="1" eb="3">
      <t>ハスウ</t>
    </rPh>
    <rPh sb="3" eb="5">
      <t>ジツブ</t>
    </rPh>
    <rPh sb="6" eb="8">
      <t>ケイサン</t>
    </rPh>
    <phoneticPr fontId="1"/>
  </si>
  <si>
    <t>※equivalent fluid model による特性インピーダンスと波数の計算</t>
    <rPh sb="27" eb="29">
      <t>トクセイ</t>
    </rPh>
    <rPh sb="37" eb="39">
      <t>ハスウ</t>
    </rPh>
    <rPh sb="40" eb="42">
      <t>ケイサン</t>
    </rPh>
    <phoneticPr fontId="1"/>
  </si>
  <si>
    <t>計算</t>
    <rPh sb="0" eb="2">
      <t>ケイサン</t>
    </rPh>
    <phoneticPr fontId="1"/>
  </si>
  <si>
    <t>１波長の減衰量</t>
    <rPh sb="1" eb="3">
      <t>ハチョウ</t>
    </rPh>
    <rPh sb="4" eb="6">
      <t>ゲンスイ</t>
    </rPh>
    <rPh sb="6" eb="7">
      <t>リョウ</t>
    </rPh>
    <phoneticPr fontId="1"/>
  </si>
  <si>
    <t>倍</t>
    <rPh sb="0" eb="1">
      <t>バイ</t>
    </rPh>
    <phoneticPr fontId="1"/>
  </si>
  <si>
    <t>Glass wool</t>
  </si>
  <si>
    <t>pressure_real</t>
  </si>
  <si>
    <t>pressure_grad_real:0</t>
  </si>
  <si>
    <t>pressure_grad_real:1</t>
  </si>
  <si>
    <t>pressure_grad_real:2</t>
  </si>
  <si>
    <t>pressure_imag</t>
  </si>
  <si>
    <t>pressure_length</t>
  </si>
  <si>
    <t>displace_real:0</t>
  </si>
  <si>
    <t>displace_real:1</t>
  </si>
  <si>
    <t>displace_real:2</t>
  </si>
  <si>
    <t>displace_imag:0</t>
  </si>
  <si>
    <t>displace_imag:1</t>
  </si>
  <si>
    <t>displace_imag:2</t>
  </si>
  <si>
    <t>ScalarGradient:0</t>
  </si>
  <si>
    <t>ScalarGradient:1</t>
  </si>
  <si>
    <t>ScalarGradient:2</t>
  </si>
  <si>
    <t>pressure_grad_imag:0</t>
  </si>
  <si>
    <t>pressure_grad_imag:1</t>
  </si>
  <si>
    <t>pressure_grad_imag:2</t>
  </si>
  <si>
    <t>vtkValidPointMask</t>
  </si>
  <si>
    <t>Time</t>
  </si>
  <si>
    <t>Point Coordinates:0</t>
  </si>
  <si>
    <t>Point Coordinates:1</t>
  </si>
  <si>
    <t>Point Coordinates:2</t>
  </si>
  <si>
    <t>pressure_gradX_real</t>
    <phoneticPr fontId="1"/>
  </si>
  <si>
    <t>pressure_gradX_imag</t>
    <phoneticPr fontId="1"/>
  </si>
  <si>
    <t>dispX_real</t>
    <phoneticPr fontId="1"/>
  </si>
  <si>
    <t>dispX_imag</t>
    <phoneticPr fontId="1"/>
  </si>
  <si>
    <t>pressure_gradX</t>
    <phoneticPr fontId="1"/>
  </si>
  <si>
    <t>dispX</t>
    <phoneticPr fontId="1"/>
  </si>
  <si>
    <t>角周波数</t>
    <rPh sb="0" eb="4">
      <t>カクシュウハスウ</t>
    </rPh>
    <phoneticPr fontId="1"/>
  </si>
  <si>
    <t>freq</t>
    <phoneticPr fontId="1"/>
  </si>
  <si>
    <t>omega</t>
    <phoneticPr fontId="1"/>
  </si>
  <si>
    <t>rho22</t>
    <phoneticPr fontId="1"/>
  </si>
  <si>
    <t>rho12</t>
    <phoneticPr fontId="1"/>
  </si>
  <si>
    <t>A</t>
    <phoneticPr fontId="1"/>
  </si>
  <si>
    <t>B</t>
    <phoneticPr fontId="1"/>
  </si>
  <si>
    <t>fluid_dispX</t>
    <phoneticPr fontId="1"/>
  </si>
  <si>
    <t>fluid_velX</t>
    <phoneticPr fontId="1"/>
  </si>
  <si>
    <t>solid_velX</t>
    <phoneticPr fontId="1"/>
  </si>
  <si>
    <t>inv_imp</t>
    <phoneticPr fontId="1"/>
  </si>
  <si>
    <t>imp</t>
    <phoneticPr fontId="1"/>
  </si>
  <si>
    <t>imp_real</t>
    <phoneticPr fontId="1"/>
  </si>
  <si>
    <t>imp_imag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</si>
</sst>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11" fontId="0" fillId="3" borderId="0" xfId="0" applyNumberFormat="1" applyFill="1"/>
    <xf numFmtId="0" fontId="0" fillId="0" borderId="0" xfId="0" applyFill="1"/>
    <xf numFmtId="11" fontId="0" fillId="0" borderId="0" xfId="0" applyNumberFormat="1"/>
    <xf numFmtId="0" fontId="0" fillId="4" borderId="0" xfId="0" applyFill="1"/>
    <xf numFmtId="0" fontId="0" fillId="5" borderId="0" xfId="0" applyFill="1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numerical!$R$1</c:f>
              <c:strCache>
                <c:ptCount val="1"/>
                <c:pt idx="0">
                  <c:v>imp_real</c:v>
                </c:pt>
              </c:strCache>
            </c:strRef>
          </c:tx>
          <c:spPr>
            <a:ln w="28575">
              <a:noFill/>
            </a:ln>
          </c:spPr>
          <c:xVal>
            <c:numRef>
              <c:f>numerical!$A$2:$A$102</c:f>
              <c:numCache>
                <c:formatCode>General</c:formatCode>
                <c:ptCount val="10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  <c:pt idx="71">
                  <c:v>1010</c:v>
                </c:pt>
                <c:pt idx="72">
                  <c:v>1020</c:v>
                </c:pt>
                <c:pt idx="73">
                  <c:v>1030</c:v>
                </c:pt>
                <c:pt idx="74">
                  <c:v>1040</c:v>
                </c:pt>
                <c:pt idx="75">
                  <c:v>1050</c:v>
                </c:pt>
                <c:pt idx="76">
                  <c:v>1060</c:v>
                </c:pt>
                <c:pt idx="77">
                  <c:v>1070</c:v>
                </c:pt>
                <c:pt idx="78">
                  <c:v>1080</c:v>
                </c:pt>
                <c:pt idx="79">
                  <c:v>1090</c:v>
                </c:pt>
                <c:pt idx="80">
                  <c:v>1100</c:v>
                </c:pt>
                <c:pt idx="81">
                  <c:v>1110</c:v>
                </c:pt>
                <c:pt idx="82">
                  <c:v>1120</c:v>
                </c:pt>
                <c:pt idx="83">
                  <c:v>1130</c:v>
                </c:pt>
                <c:pt idx="84">
                  <c:v>1140</c:v>
                </c:pt>
                <c:pt idx="85">
                  <c:v>1150</c:v>
                </c:pt>
                <c:pt idx="86">
                  <c:v>1160</c:v>
                </c:pt>
                <c:pt idx="87">
                  <c:v>1170</c:v>
                </c:pt>
                <c:pt idx="88">
                  <c:v>1180</c:v>
                </c:pt>
                <c:pt idx="89">
                  <c:v>1190</c:v>
                </c:pt>
                <c:pt idx="90">
                  <c:v>1200</c:v>
                </c:pt>
                <c:pt idx="91">
                  <c:v>1210</c:v>
                </c:pt>
                <c:pt idx="92">
                  <c:v>1220</c:v>
                </c:pt>
                <c:pt idx="93">
                  <c:v>1230</c:v>
                </c:pt>
                <c:pt idx="94">
                  <c:v>1240</c:v>
                </c:pt>
                <c:pt idx="95">
                  <c:v>1250</c:v>
                </c:pt>
                <c:pt idx="96">
                  <c:v>1260</c:v>
                </c:pt>
                <c:pt idx="97">
                  <c:v>1270</c:v>
                </c:pt>
                <c:pt idx="98">
                  <c:v>1280</c:v>
                </c:pt>
                <c:pt idx="99">
                  <c:v>1290</c:v>
                </c:pt>
                <c:pt idx="100">
                  <c:v>1300</c:v>
                </c:pt>
              </c:numCache>
            </c:numRef>
          </c:xVal>
          <c:yVal>
            <c:numRef>
              <c:f>numerical!$R$2:$R$102</c:f>
              <c:numCache>
                <c:formatCode>General</c:formatCode>
                <c:ptCount val="101"/>
                <c:pt idx="0">
                  <c:v>1016.8598070574</c:v>
                </c:pt>
                <c:pt idx="1">
                  <c:v>1000.5927796969499</c:v>
                </c:pt>
                <c:pt idx="2">
                  <c:v>984.35538686083999</c:v>
                </c:pt>
                <c:pt idx="3">
                  <c:v>967.945183020851</c:v>
                </c:pt>
                <c:pt idx="4">
                  <c:v>951.15519685222796</c:v>
                </c:pt>
                <c:pt idx="5">
                  <c:v>933.65615537547296</c:v>
                </c:pt>
                <c:pt idx="6">
                  <c:v>915.23785529278496</c:v>
                </c:pt>
                <c:pt idx="7">
                  <c:v>895.46814692820897</c:v>
                </c:pt>
                <c:pt idx="8">
                  <c:v>874.03542126953596</c:v>
                </c:pt>
                <c:pt idx="9">
                  <c:v>850.53840926738599</c:v>
                </c:pt>
                <c:pt idx="10">
                  <c:v>824.48944079243199</c:v>
                </c:pt>
                <c:pt idx="11">
                  <c:v>795.71535998622903</c:v>
                </c:pt>
                <c:pt idx="12">
                  <c:v>764.38551291857505</c:v>
                </c:pt>
                <c:pt idx="13">
                  <c:v>731.82450544029598</c:v>
                </c:pt>
                <c:pt idx="14">
                  <c:v>701.30813412441501</c:v>
                </c:pt>
                <c:pt idx="15">
                  <c:v>678.79074160584196</c:v>
                </c:pt>
                <c:pt idx="16">
                  <c:v>677.874661065905</c:v>
                </c:pt>
                <c:pt idx="17">
                  <c:v>729.25732757528897</c:v>
                </c:pt>
                <c:pt idx="18">
                  <c:v>834.98968009797397</c:v>
                </c:pt>
                <c:pt idx="19">
                  <c:v>942.34368137579395</c:v>
                </c:pt>
                <c:pt idx="20">
                  <c:v>1015.19519191395</c:v>
                </c:pt>
                <c:pt idx="21">
                  <c:v>1053.4635525630399</c:v>
                </c:pt>
                <c:pt idx="22">
                  <c:v>1068.8549215650601</c:v>
                </c:pt>
                <c:pt idx="23">
                  <c:v>1071.46612730113</c:v>
                </c:pt>
                <c:pt idx="24">
                  <c:v>1067.4146306038999</c:v>
                </c:pt>
                <c:pt idx="25">
                  <c:v>1060.11754475511</c:v>
                </c:pt>
                <c:pt idx="26">
                  <c:v>1051.3235192868301</c:v>
                </c:pt>
                <c:pt idx="27">
                  <c:v>1042.0452438664399</c:v>
                </c:pt>
                <c:pt idx="28">
                  <c:v>1032.74713911299</c:v>
                </c:pt>
                <c:pt idx="29">
                  <c:v>1023.63889455051</c:v>
                </c:pt>
                <c:pt idx="30">
                  <c:v>1014.87612199606</c:v>
                </c:pt>
                <c:pt idx="31">
                  <c:v>1006.4926884124</c:v>
                </c:pt>
                <c:pt idx="32">
                  <c:v>998.50803476292106</c:v>
                </c:pt>
                <c:pt idx="33">
                  <c:v>990.88359787910599</c:v>
                </c:pt>
                <c:pt idx="34">
                  <c:v>983.62602791187396</c:v>
                </c:pt>
                <c:pt idx="35">
                  <c:v>976.66838112838104</c:v>
                </c:pt>
                <c:pt idx="36">
                  <c:v>970.06283600283905</c:v>
                </c:pt>
                <c:pt idx="37">
                  <c:v>963.73713264907803</c:v>
                </c:pt>
                <c:pt idx="38">
                  <c:v>957.68485448524302</c:v>
                </c:pt>
                <c:pt idx="39">
                  <c:v>951.88296350416999</c:v>
                </c:pt>
                <c:pt idx="40">
                  <c:v>946.30064643116395</c:v>
                </c:pt>
                <c:pt idx="41">
                  <c:v>940.95488403241302</c:v>
                </c:pt>
                <c:pt idx="42">
                  <c:v>935.79032494865498</c:v>
                </c:pt>
                <c:pt idx="43">
                  <c:v>930.82345149391699</c:v>
                </c:pt>
                <c:pt idx="44">
                  <c:v>926.00043141764502</c:v>
                </c:pt>
                <c:pt idx="45">
                  <c:v>921.37297573504895</c:v>
                </c:pt>
                <c:pt idx="46">
                  <c:v>916.87005043689703</c:v>
                </c:pt>
                <c:pt idx="47">
                  <c:v>912.536456536488</c:v>
                </c:pt>
                <c:pt idx="48">
                  <c:v>908.33296233037504</c:v>
                </c:pt>
                <c:pt idx="49">
                  <c:v>904.27778351236395</c:v>
                </c:pt>
                <c:pt idx="50">
                  <c:v>900.30787673800296</c:v>
                </c:pt>
                <c:pt idx="51">
                  <c:v>896.495270203985</c:v>
                </c:pt>
                <c:pt idx="52">
                  <c:v>892.75338018203195</c:v>
                </c:pt>
                <c:pt idx="53">
                  <c:v>889.15392926703805</c:v>
                </c:pt>
                <c:pt idx="54">
                  <c:v>885.63885977305802</c:v>
                </c:pt>
                <c:pt idx="55">
                  <c:v>882.20915783215105</c:v>
                </c:pt>
                <c:pt idx="56">
                  <c:v>878.89668298240895</c:v>
                </c:pt>
                <c:pt idx="57">
                  <c:v>875.65920036031196</c:v>
                </c:pt>
                <c:pt idx="58">
                  <c:v>872.50394332641304</c:v>
                </c:pt>
                <c:pt idx="59">
                  <c:v>869.43936062456703</c:v>
                </c:pt>
                <c:pt idx="60">
                  <c:v>866.45466170881105</c:v>
                </c:pt>
                <c:pt idx="61">
                  <c:v>863.54583720674998</c:v>
                </c:pt>
                <c:pt idx="62">
                  <c:v>860.71432913589399</c:v>
                </c:pt>
                <c:pt idx="63">
                  <c:v>857.94554465862302</c:v>
                </c:pt>
                <c:pt idx="64">
                  <c:v>855.24731502487498</c:v>
                </c:pt>
                <c:pt idx="65">
                  <c:v>852.63219108114504</c:v>
                </c:pt>
                <c:pt idx="66">
                  <c:v>850.05231452126395</c:v>
                </c:pt>
                <c:pt idx="67">
                  <c:v>847.548859346933</c:v>
                </c:pt>
                <c:pt idx="68">
                  <c:v>845.11766216646504</c:v>
                </c:pt>
                <c:pt idx="69">
                  <c:v>842.73995339563805</c:v>
                </c:pt>
                <c:pt idx="70">
                  <c:v>840.405452432885</c:v>
                </c:pt>
                <c:pt idx="71">
                  <c:v>838.12688668097996</c:v>
                </c:pt>
                <c:pt idx="72">
                  <c:v>835.89691027404001</c:v>
                </c:pt>
                <c:pt idx="73">
                  <c:v>833.73598437452802</c:v>
                </c:pt>
                <c:pt idx="74">
                  <c:v>831.60407858942801</c:v>
                </c:pt>
                <c:pt idx="75">
                  <c:v>829.52332248682899</c:v>
                </c:pt>
                <c:pt idx="76">
                  <c:v>827.48351489921004</c:v>
                </c:pt>
                <c:pt idx="77">
                  <c:v>825.48023405053505</c:v>
                </c:pt>
                <c:pt idx="78">
                  <c:v>823.52726554656203</c:v>
                </c:pt>
                <c:pt idx="79">
                  <c:v>821.60578588782698</c:v>
                </c:pt>
                <c:pt idx="80">
                  <c:v>819.71667532014897</c:v>
                </c:pt>
                <c:pt idx="81">
                  <c:v>817.84497979873504</c:v>
                </c:pt>
                <c:pt idx="82">
                  <c:v>816.016936568142</c:v>
                </c:pt>
                <c:pt idx="83">
                  <c:v>814.20404352444996</c:v>
                </c:pt>
                <c:pt idx="84">
                  <c:v>812.41455402150996</c:v>
                </c:pt>
                <c:pt idx="85">
                  <c:v>810.63805267641806</c:v>
                </c:pt>
                <c:pt idx="86">
                  <c:v>808.86145577625302</c:v>
                </c:pt>
                <c:pt idx="87">
                  <c:v>807.08809980075898</c:v>
                </c:pt>
                <c:pt idx="88">
                  <c:v>805.29553550081005</c:v>
                </c:pt>
                <c:pt idx="89">
                  <c:v>803.50621026951899</c:v>
                </c:pt>
                <c:pt idx="90">
                  <c:v>801.67263001623996</c:v>
                </c:pt>
                <c:pt idx="91">
                  <c:v>799.77975421998701</c:v>
                </c:pt>
                <c:pt idx="92">
                  <c:v>797.83831820207104</c:v>
                </c:pt>
                <c:pt idx="93">
                  <c:v>795.79881339521899</c:v>
                </c:pt>
                <c:pt idx="94">
                  <c:v>793.64722574541997</c:v>
                </c:pt>
                <c:pt idx="95">
                  <c:v>791.345165208455</c:v>
                </c:pt>
                <c:pt idx="96">
                  <c:v>788.83930627887798</c:v>
                </c:pt>
                <c:pt idx="97">
                  <c:v>786.08684830038897</c:v>
                </c:pt>
                <c:pt idx="98">
                  <c:v>783.02565609678504</c:v>
                </c:pt>
                <c:pt idx="99">
                  <c:v>779.57228774272801</c:v>
                </c:pt>
                <c:pt idx="100">
                  <c:v>775.61734875751301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numerical!$S$1</c:f>
              <c:strCache>
                <c:ptCount val="1"/>
                <c:pt idx="0">
                  <c:v>imp_imag</c:v>
                </c:pt>
              </c:strCache>
            </c:strRef>
          </c:tx>
          <c:spPr>
            <a:ln w="28575">
              <a:noFill/>
            </a:ln>
          </c:spPr>
          <c:xVal>
            <c:numRef>
              <c:f>numerical!$A$2:$A$102</c:f>
              <c:numCache>
                <c:formatCode>General</c:formatCode>
                <c:ptCount val="10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  <c:pt idx="71">
                  <c:v>1010</c:v>
                </c:pt>
                <c:pt idx="72">
                  <c:v>1020</c:v>
                </c:pt>
                <c:pt idx="73">
                  <c:v>1030</c:v>
                </c:pt>
                <c:pt idx="74">
                  <c:v>1040</c:v>
                </c:pt>
                <c:pt idx="75">
                  <c:v>1050</c:v>
                </c:pt>
                <c:pt idx="76">
                  <c:v>1060</c:v>
                </c:pt>
                <c:pt idx="77">
                  <c:v>1070</c:v>
                </c:pt>
                <c:pt idx="78">
                  <c:v>1080</c:v>
                </c:pt>
                <c:pt idx="79">
                  <c:v>1090</c:v>
                </c:pt>
                <c:pt idx="80">
                  <c:v>1100</c:v>
                </c:pt>
                <c:pt idx="81">
                  <c:v>1110</c:v>
                </c:pt>
                <c:pt idx="82">
                  <c:v>1120</c:v>
                </c:pt>
                <c:pt idx="83">
                  <c:v>1130</c:v>
                </c:pt>
                <c:pt idx="84">
                  <c:v>1140</c:v>
                </c:pt>
                <c:pt idx="85">
                  <c:v>1150</c:v>
                </c:pt>
                <c:pt idx="86">
                  <c:v>1160</c:v>
                </c:pt>
                <c:pt idx="87">
                  <c:v>1170</c:v>
                </c:pt>
                <c:pt idx="88">
                  <c:v>1180</c:v>
                </c:pt>
                <c:pt idx="89">
                  <c:v>1190</c:v>
                </c:pt>
                <c:pt idx="90">
                  <c:v>1200</c:v>
                </c:pt>
                <c:pt idx="91">
                  <c:v>1210</c:v>
                </c:pt>
                <c:pt idx="92">
                  <c:v>1220</c:v>
                </c:pt>
                <c:pt idx="93">
                  <c:v>1230</c:v>
                </c:pt>
                <c:pt idx="94">
                  <c:v>1240</c:v>
                </c:pt>
                <c:pt idx="95">
                  <c:v>1250</c:v>
                </c:pt>
                <c:pt idx="96">
                  <c:v>1260</c:v>
                </c:pt>
                <c:pt idx="97">
                  <c:v>1270</c:v>
                </c:pt>
                <c:pt idx="98">
                  <c:v>1280</c:v>
                </c:pt>
                <c:pt idx="99">
                  <c:v>1290</c:v>
                </c:pt>
                <c:pt idx="100">
                  <c:v>1300</c:v>
                </c:pt>
              </c:numCache>
            </c:numRef>
          </c:xVal>
          <c:yVal>
            <c:numRef>
              <c:f>numerical!$S$2:$S$102</c:f>
              <c:numCache>
                <c:formatCode>General</c:formatCode>
                <c:ptCount val="101"/>
                <c:pt idx="0">
                  <c:v>-1089.8572559136901</c:v>
                </c:pt>
                <c:pt idx="1">
                  <c:v>-1075.0236172052901</c:v>
                </c:pt>
                <c:pt idx="2">
                  <c:v>-1059.9654076832701</c:v>
                </c:pt>
                <c:pt idx="3">
                  <c:v>-1044.7025543106799</c:v>
                </c:pt>
                <c:pt idx="4">
                  <c:v>-1029.00799946647</c:v>
                </c:pt>
                <c:pt idx="5">
                  <c:v>-1012.6899190466499</c:v>
                </c:pt>
                <c:pt idx="6">
                  <c:v>-995.45230693193605</c:v>
                </c:pt>
                <c:pt idx="7">
                  <c:v>-976.79535777269803</c:v>
                </c:pt>
                <c:pt idx="8">
                  <c:v>-955.96937005729706</c:v>
                </c:pt>
                <c:pt idx="9">
                  <c:v>-931.82909419173404</c:v>
                </c:pt>
                <c:pt idx="10">
                  <c:v>-902.52372887342597</c:v>
                </c:pt>
                <c:pt idx="11">
                  <c:v>-865.05480623832602</c:v>
                </c:pt>
                <c:pt idx="12">
                  <c:v>-814.72075342589505</c:v>
                </c:pt>
                <c:pt idx="13">
                  <c:v>-744.11829185488102</c:v>
                </c:pt>
                <c:pt idx="14">
                  <c:v>-643.84231371656097</c:v>
                </c:pt>
                <c:pt idx="15">
                  <c:v>-510.08487244516903</c:v>
                </c:pt>
                <c:pt idx="16">
                  <c:v>-368.36504596788598</c:v>
                </c:pt>
                <c:pt idx="17">
                  <c:v>-278.04865657327201</c:v>
                </c:pt>
                <c:pt idx="18">
                  <c:v>-267.94442564712602</c:v>
                </c:pt>
                <c:pt idx="19">
                  <c:v>-316.43742156654798</c:v>
                </c:pt>
                <c:pt idx="20">
                  <c:v>-386.12158203066701</c:v>
                </c:pt>
                <c:pt idx="21">
                  <c:v>-451.644796476458</c:v>
                </c:pt>
                <c:pt idx="22">
                  <c:v>-504.07604768722899</c:v>
                </c:pt>
                <c:pt idx="23">
                  <c:v>-543.195391320966</c:v>
                </c:pt>
                <c:pt idx="24">
                  <c:v>-571.50488230947894</c:v>
                </c:pt>
                <c:pt idx="25">
                  <c:v>-591.55436545907105</c:v>
                </c:pt>
                <c:pt idx="26">
                  <c:v>-605.50628987960101</c:v>
                </c:pt>
                <c:pt idx="27">
                  <c:v>-614.94412887721103</c:v>
                </c:pt>
                <c:pt idx="28">
                  <c:v>-621.00962170364301</c:v>
                </c:pt>
                <c:pt idx="29">
                  <c:v>-624.59506997833603</c:v>
                </c:pt>
                <c:pt idx="30">
                  <c:v>-626.27229374322803</c:v>
                </c:pt>
                <c:pt idx="31">
                  <c:v>-626.462046314075</c:v>
                </c:pt>
                <c:pt idx="32">
                  <c:v>-625.555240748031</c:v>
                </c:pt>
                <c:pt idx="33">
                  <c:v>-623.77255412002705</c:v>
                </c:pt>
                <c:pt idx="34">
                  <c:v>-621.34061721834598</c:v>
                </c:pt>
                <c:pt idx="35">
                  <c:v>-618.32990439396303</c:v>
                </c:pt>
                <c:pt idx="36">
                  <c:v>-614.92137325240299</c:v>
                </c:pt>
                <c:pt idx="37">
                  <c:v>-611.20606411872097</c:v>
                </c:pt>
                <c:pt idx="38">
                  <c:v>-607.20722847720594</c:v>
                </c:pt>
                <c:pt idx="39">
                  <c:v>-603.00900443338196</c:v>
                </c:pt>
                <c:pt idx="40">
                  <c:v>-598.65630041367297</c:v>
                </c:pt>
                <c:pt idx="41">
                  <c:v>-594.20347377367602</c:v>
                </c:pt>
                <c:pt idx="42">
                  <c:v>-589.65442939010302</c:v>
                </c:pt>
                <c:pt idx="43">
                  <c:v>-585.05513267091203</c:v>
                </c:pt>
                <c:pt idx="44">
                  <c:v>-580.40399357003696</c:v>
                </c:pt>
                <c:pt idx="45">
                  <c:v>-575.72951816427803</c:v>
                </c:pt>
                <c:pt idx="46">
                  <c:v>-571.05962001650596</c:v>
                </c:pt>
                <c:pt idx="47">
                  <c:v>-566.39031143288105</c:v>
                </c:pt>
                <c:pt idx="48">
                  <c:v>-561.73807587624799</c:v>
                </c:pt>
                <c:pt idx="49">
                  <c:v>-557.10305605963094</c:v>
                </c:pt>
                <c:pt idx="50">
                  <c:v>-552.50539619794802</c:v>
                </c:pt>
                <c:pt idx="51">
                  <c:v>-547.93049769530796</c:v>
                </c:pt>
                <c:pt idx="52">
                  <c:v>-543.40308576083805</c:v>
                </c:pt>
                <c:pt idx="53">
                  <c:v>-538.90639722893195</c:v>
                </c:pt>
                <c:pt idx="54">
                  <c:v>-534.45795216278805</c:v>
                </c:pt>
                <c:pt idx="55">
                  <c:v>-530.08399102230896</c:v>
                </c:pt>
                <c:pt idx="56">
                  <c:v>-525.72547614765199</c:v>
                </c:pt>
                <c:pt idx="57">
                  <c:v>-521.44551373631896</c:v>
                </c:pt>
                <c:pt idx="58">
                  <c:v>-517.19141629204603</c:v>
                </c:pt>
                <c:pt idx="59">
                  <c:v>-513.013368362449</c:v>
                </c:pt>
                <c:pt idx="60">
                  <c:v>-508.88765673885399</c:v>
                </c:pt>
                <c:pt idx="61">
                  <c:v>-504.81554615147201</c:v>
                </c:pt>
                <c:pt idx="62">
                  <c:v>-500.82150607115301</c:v>
                </c:pt>
                <c:pt idx="63">
                  <c:v>-496.85998951487397</c:v>
                </c:pt>
                <c:pt idx="64">
                  <c:v>-492.97784905174399</c:v>
                </c:pt>
                <c:pt idx="65">
                  <c:v>-489.14689673763002</c:v>
                </c:pt>
                <c:pt idx="66">
                  <c:v>-485.379879505009</c:v>
                </c:pt>
                <c:pt idx="67">
                  <c:v>-481.66504589859898</c:v>
                </c:pt>
                <c:pt idx="68">
                  <c:v>-478.00394452197901</c:v>
                </c:pt>
                <c:pt idx="69">
                  <c:v>-474.42515092074399</c:v>
                </c:pt>
                <c:pt idx="70">
                  <c:v>-470.90664210575102</c:v>
                </c:pt>
                <c:pt idx="71">
                  <c:v>-467.42224208201998</c:v>
                </c:pt>
                <c:pt idx="72">
                  <c:v>-464.042471369922</c:v>
                </c:pt>
                <c:pt idx="73">
                  <c:v>-460.69292912564902</c:v>
                </c:pt>
                <c:pt idx="74">
                  <c:v>-457.40772510379497</c:v>
                </c:pt>
                <c:pt idx="75">
                  <c:v>-454.20238596633601</c:v>
                </c:pt>
                <c:pt idx="76">
                  <c:v>-451.05741429104</c:v>
                </c:pt>
                <c:pt idx="77">
                  <c:v>-447.97454617700299</c:v>
                </c:pt>
                <c:pt idx="78">
                  <c:v>-444.948187281684</c:v>
                </c:pt>
                <c:pt idx="79">
                  <c:v>-442.00692586795299</c:v>
                </c:pt>
                <c:pt idx="80">
                  <c:v>-439.10560311580201</c:v>
                </c:pt>
                <c:pt idx="81">
                  <c:v>-436.29160306199401</c:v>
                </c:pt>
                <c:pt idx="82">
                  <c:v>-433.53583938574701</c:v>
                </c:pt>
                <c:pt idx="83">
                  <c:v>-430.84553658204698</c:v>
                </c:pt>
                <c:pt idx="84">
                  <c:v>-428.21698643617202</c:v>
                </c:pt>
                <c:pt idx="85">
                  <c:v>-425.65238424146497</c:v>
                </c:pt>
                <c:pt idx="86">
                  <c:v>-423.15322556997597</c:v>
                </c:pt>
                <c:pt idx="87">
                  <c:v>-420.71524803903498</c:v>
                </c:pt>
                <c:pt idx="88">
                  <c:v>-418.32155310216399</c:v>
                </c:pt>
                <c:pt idx="89">
                  <c:v>-415.97983084886698</c:v>
                </c:pt>
                <c:pt idx="90">
                  <c:v>-413.67544188189601</c:v>
                </c:pt>
                <c:pt idx="91">
                  <c:v>-411.38458768283698</c:v>
                </c:pt>
                <c:pt idx="92">
                  <c:v>-409.108616280023</c:v>
                </c:pt>
                <c:pt idx="93">
                  <c:v>-406.80436978744802</c:v>
                </c:pt>
                <c:pt idx="94">
                  <c:v>-404.42897753000301</c:v>
                </c:pt>
                <c:pt idx="95">
                  <c:v>-401.93997606969498</c:v>
                </c:pt>
                <c:pt idx="96">
                  <c:v>-399.26690766186999</c:v>
                </c:pt>
                <c:pt idx="97">
                  <c:v>-396.31939197431399</c:v>
                </c:pt>
                <c:pt idx="98">
                  <c:v>-392.954598930511</c:v>
                </c:pt>
                <c:pt idx="99">
                  <c:v>-389.00882176317998</c:v>
                </c:pt>
                <c:pt idx="100">
                  <c:v>-384.25810287203899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97984"/>
        <c:axId val="155499520"/>
      </c:scatterChart>
      <c:valAx>
        <c:axId val="155497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499520"/>
        <c:crosses val="autoZero"/>
        <c:crossBetween val="midCat"/>
      </c:valAx>
      <c:valAx>
        <c:axId val="15549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4979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149676</xdr:colOff>
      <xdr:row>4</xdr:row>
      <xdr:rowOff>50344</xdr:rowOff>
    </xdr:from>
    <xdr:to>
      <xdr:col>16</xdr:col>
      <xdr:colOff>489856</xdr:colOff>
      <xdr:row>35</xdr:row>
      <xdr:rowOff>108856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12"/>
  <sheetViews>
    <sheetView zoomScale="70" zoomScaleNormal="70" workbookViewId="0">
      <selection activeCell="A14" sqref="A14"/>
    </sheetView>
  </sheetViews>
  <sheetFormatPr defaultRowHeight="13.5" x14ac:dyDescent="0.15"/>
  <cols>
    <col min="1" max="1" width="15.5" bestFit="1" customWidth="1"/>
    <col min="2" max="2" width="17.25" bestFit="1" customWidth="1"/>
    <col min="3" max="3" width="9.625" customWidth="1"/>
    <col min="4" max="14" width="9.875" customWidth="1"/>
    <col min="15" max="15" width="7.375" customWidth="1"/>
    <col min="16" max="16" width="4.75" customWidth="1"/>
    <col min="17" max="17" width="4.375" customWidth="1"/>
  </cols>
  <sheetData>
    <row r="1" spans="1:29" x14ac:dyDescent="0.15">
      <c r="A1" t="s">
        <v>1</v>
      </c>
      <c r="B1" t="s">
        <v>0</v>
      </c>
      <c r="C1" t="s">
        <v>26</v>
      </c>
      <c r="D1" s="1" t="s">
        <v>40</v>
      </c>
      <c r="E1" s="1" t="s">
        <v>15</v>
      </c>
      <c r="F1" s="1" t="s">
        <v>17</v>
      </c>
      <c r="G1" s="1" t="s">
        <v>19</v>
      </c>
      <c r="H1" s="1" t="s">
        <v>21</v>
      </c>
      <c r="J1" s="1" t="s">
        <v>33</v>
      </c>
      <c r="K1" t="s">
        <v>23</v>
      </c>
      <c r="L1" s="1" t="s">
        <v>25</v>
      </c>
      <c r="M1" s="1" t="s">
        <v>29</v>
      </c>
      <c r="N1" t="s">
        <v>30</v>
      </c>
      <c r="O1" s="1" t="s">
        <v>74</v>
      </c>
      <c r="P1" s="1"/>
      <c r="Q1" s="1"/>
      <c r="S1" s="1" t="s">
        <v>77</v>
      </c>
      <c r="T1" s="1" t="s">
        <v>35</v>
      </c>
      <c r="U1" s="1" t="s">
        <v>37</v>
      </c>
      <c r="V1" t="s">
        <v>38</v>
      </c>
      <c r="W1" s="1" t="s">
        <v>41</v>
      </c>
      <c r="X1" s="1" t="s">
        <v>43</v>
      </c>
      <c r="Y1" s="1" t="s">
        <v>45</v>
      </c>
      <c r="Z1" t="s">
        <v>66</v>
      </c>
      <c r="AA1" t="s">
        <v>51</v>
      </c>
      <c r="AB1" t="s">
        <v>52</v>
      </c>
      <c r="AC1" t="s">
        <v>55</v>
      </c>
    </row>
    <row r="2" spans="1:29" x14ac:dyDescent="0.15">
      <c r="A2" t="s">
        <v>12</v>
      </c>
      <c r="B2" t="s">
        <v>13</v>
      </c>
      <c r="C2" t="s">
        <v>27</v>
      </c>
      <c r="D2" s="1" t="s">
        <v>14</v>
      </c>
      <c r="E2" s="1" t="s">
        <v>16</v>
      </c>
      <c r="F2" s="1" t="s">
        <v>18</v>
      </c>
      <c r="G2" s="1" t="s">
        <v>20</v>
      </c>
      <c r="H2" s="1" t="s">
        <v>22</v>
      </c>
      <c r="J2" s="1" t="s">
        <v>34</v>
      </c>
      <c r="K2" t="s">
        <v>24</v>
      </c>
      <c r="L2" s="1"/>
      <c r="M2" s="1" t="s">
        <v>31</v>
      </c>
      <c r="N2" t="s">
        <v>32</v>
      </c>
      <c r="O2" s="1" t="s">
        <v>73</v>
      </c>
      <c r="P2" s="1"/>
      <c r="Q2" s="1"/>
      <c r="S2" s="1" t="s">
        <v>78</v>
      </c>
      <c r="T2" s="1" t="s">
        <v>36</v>
      </c>
      <c r="U2" s="1" t="s">
        <v>72</v>
      </c>
      <c r="V2" t="s">
        <v>39</v>
      </c>
      <c r="W2" s="1" t="s">
        <v>42</v>
      </c>
      <c r="X2" s="1" t="s">
        <v>44</v>
      </c>
      <c r="Y2" s="1" t="s">
        <v>46</v>
      </c>
      <c r="Z2" t="s">
        <v>67</v>
      </c>
      <c r="AA2" t="s">
        <v>53</v>
      </c>
      <c r="AB2" t="s">
        <v>54</v>
      </c>
      <c r="AC2" t="s">
        <v>56</v>
      </c>
    </row>
    <row r="3" spans="1:29" x14ac:dyDescent="0.15">
      <c r="C3" t="s">
        <v>28</v>
      </c>
      <c r="D3" s="1" t="s">
        <v>62</v>
      </c>
      <c r="E3" s="1" t="s">
        <v>60</v>
      </c>
      <c r="F3" s="1" t="s">
        <v>62</v>
      </c>
      <c r="G3" s="1" t="s">
        <v>61</v>
      </c>
      <c r="H3" s="1" t="s">
        <v>61</v>
      </c>
      <c r="J3" s="1" t="s">
        <v>58</v>
      </c>
      <c r="K3" t="s">
        <v>47</v>
      </c>
      <c r="L3" s="1" t="s">
        <v>49</v>
      </c>
      <c r="M3" s="1" t="s">
        <v>48</v>
      </c>
      <c r="N3" t="s">
        <v>48</v>
      </c>
      <c r="O3" s="1" t="s">
        <v>62</v>
      </c>
      <c r="P3" s="1" t="s">
        <v>49</v>
      </c>
      <c r="Q3" s="1" t="s">
        <v>49</v>
      </c>
      <c r="S3" s="1" t="s">
        <v>79</v>
      </c>
      <c r="T3" s="1" t="s">
        <v>50</v>
      </c>
      <c r="U3" s="1" t="s">
        <v>71</v>
      </c>
      <c r="V3" t="s">
        <v>64</v>
      </c>
      <c r="W3" s="1" t="s">
        <v>65</v>
      </c>
      <c r="X3" s="1" t="s">
        <v>62</v>
      </c>
      <c r="Y3" s="1" t="s">
        <v>70</v>
      </c>
      <c r="Z3" t="s">
        <v>68</v>
      </c>
      <c r="AA3" t="s">
        <v>69</v>
      </c>
      <c r="AB3" t="s">
        <v>63</v>
      </c>
      <c r="AC3" t="s">
        <v>57</v>
      </c>
    </row>
    <row r="4" spans="1:29" x14ac:dyDescent="0.15">
      <c r="A4" t="s">
        <v>8</v>
      </c>
      <c r="B4" t="s">
        <v>2</v>
      </c>
      <c r="C4" s="4">
        <v>10</v>
      </c>
      <c r="D4" s="2">
        <v>0.94</v>
      </c>
      <c r="E4" s="2">
        <v>40000</v>
      </c>
      <c r="F4" s="2">
        <v>1.06</v>
      </c>
      <c r="G4" s="3">
        <v>5.5999999999999999E-5</v>
      </c>
      <c r="H4" s="3">
        <v>1.1E-4</v>
      </c>
      <c r="J4" s="2">
        <v>130</v>
      </c>
      <c r="K4" s="4" t="str">
        <f>IMPRODUCT(2*(1+L4),M4)</f>
        <v>4400000+440000i</v>
      </c>
      <c r="L4" s="2">
        <v>0</v>
      </c>
      <c r="M4" s="2" t="str">
        <f>COMPLEX(2200000,2200000*0.1)</f>
        <v>2200000+220000i</v>
      </c>
      <c r="N4" t="str">
        <f>IMPRODUCT(2*(1+L4)/3/(1-2*L4),M4)</f>
        <v>1466666.66666667+146666.666666667i</v>
      </c>
      <c r="O4">
        <f>IMAGINARY(K4)/IMREAL(K4)</f>
        <v>0.1</v>
      </c>
      <c r="P4">
        <f>IMAGINARY(M4)/IMREAL(M4)</f>
        <v>0.1</v>
      </c>
      <c r="Q4">
        <f>IMAGINARY(N4)/IMREAL(N4)</f>
        <v>0.1</v>
      </c>
    </row>
    <row r="5" spans="1:29" x14ac:dyDescent="0.15">
      <c r="A5" t="s">
        <v>76</v>
      </c>
      <c r="B5" t="s">
        <v>3</v>
      </c>
      <c r="C5" s="4">
        <v>0.4</v>
      </c>
      <c r="D5" s="2">
        <v>0.98</v>
      </c>
      <c r="E5" s="2">
        <v>34000</v>
      </c>
      <c r="F5" s="2">
        <v>1.18</v>
      </c>
      <c r="G5" s="3">
        <v>6.0000000000000002E-5</v>
      </c>
      <c r="H5" s="3">
        <v>8.7000000000000001E-5</v>
      </c>
      <c r="J5" s="2">
        <v>41</v>
      </c>
      <c r="K5" s="4" t="str">
        <f t="shared" ref="K5:K9" si="0">IMPRODUCT(2*(1+L5),M5)</f>
        <v>286000+4290i</v>
      </c>
      <c r="L5" s="2">
        <v>0.3</v>
      </c>
      <c r="M5" s="2" t="str">
        <f>COMPLEX(110000,110000*0.015)</f>
        <v>110000+1650i</v>
      </c>
      <c r="N5" t="str">
        <f t="shared" ref="N5:N9" si="1">IMPRODUCT(2*(1+L5)/3/(1-2*L5),M5)</f>
        <v>238333.333333333+3575i</v>
      </c>
      <c r="O5">
        <f t="shared" ref="O5:O12" si="2">IMAGINARY(K5)/IMREAL(K5)</f>
        <v>1.4999999999999999E-2</v>
      </c>
      <c r="P5">
        <f t="shared" ref="P5:P12" si="3">IMAGINARY(M5)/IMREAL(M5)</f>
        <v>1.4999999999999999E-2</v>
      </c>
      <c r="Q5">
        <f t="shared" ref="Q5:Q12" si="4">IMAGINARY(N5)/IMREAL(N5)</f>
        <v>1.5000000000000022E-2</v>
      </c>
    </row>
    <row r="6" spans="1:29" x14ac:dyDescent="0.15">
      <c r="B6" t="s">
        <v>4</v>
      </c>
      <c r="C6" s="4">
        <v>0.08</v>
      </c>
      <c r="D6" s="2">
        <v>0.8</v>
      </c>
      <c r="E6" s="2">
        <v>3200000</v>
      </c>
      <c r="F6" s="2">
        <v>2.56</v>
      </c>
      <c r="G6" s="3">
        <v>6.0000000000000002E-6</v>
      </c>
      <c r="H6" s="3">
        <v>2.4000000000000001E-5</v>
      </c>
      <c r="J6" s="2">
        <v>125</v>
      </c>
      <c r="K6" s="4" t="str">
        <f t="shared" si="0"/>
        <v>2600000+260000i</v>
      </c>
      <c r="L6" s="2">
        <v>0.3</v>
      </c>
      <c r="M6" s="2" t="str">
        <f>COMPLEX(1000000,1000000*0.1)</f>
        <v>1000000+100000i</v>
      </c>
      <c r="N6" t="str">
        <f t="shared" si="1"/>
        <v>2166666.66666667+216666.666666667i</v>
      </c>
      <c r="O6">
        <f t="shared" si="2"/>
        <v>0.1</v>
      </c>
      <c r="P6">
        <f t="shared" si="3"/>
        <v>0.1</v>
      </c>
      <c r="Q6">
        <f t="shared" si="4"/>
        <v>0.10000000000000002</v>
      </c>
    </row>
    <row r="7" spans="1:29" x14ac:dyDescent="0.15">
      <c r="B7" t="s">
        <v>5</v>
      </c>
      <c r="C7" s="4">
        <v>0.5</v>
      </c>
      <c r="D7" s="2">
        <v>0.97</v>
      </c>
      <c r="E7" s="2">
        <v>87000</v>
      </c>
      <c r="F7" s="2">
        <v>2.52</v>
      </c>
      <c r="G7" s="3">
        <v>3.6999999999999998E-5</v>
      </c>
      <c r="H7" s="3">
        <v>1.1900000000000001E-4</v>
      </c>
      <c r="J7" s="2">
        <v>31</v>
      </c>
      <c r="K7" s="4" t="str">
        <f t="shared" si="0"/>
        <v>143000+7865i</v>
      </c>
      <c r="L7" s="2">
        <v>0.3</v>
      </c>
      <c r="M7" s="2" t="str">
        <f>COMPLEX(55000,55000*0.055)</f>
        <v>55000+3025i</v>
      </c>
      <c r="N7" t="str">
        <f t="shared" si="1"/>
        <v>119166.666666667+6554.16666666667i</v>
      </c>
      <c r="O7">
        <f t="shared" si="2"/>
        <v>5.5E-2</v>
      </c>
      <c r="P7">
        <f t="shared" si="3"/>
        <v>5.5E-2</v>
      </c>
      <c r="Q7">
        <f t="shared" si="4"/>
        <v>5.4999999999999868E-2</v>
      </c>
    </row>
    <row r="8" spans="1:29" x14ac:dyDescent="0.15">
      <c r="B8" t="s">
        <v>6</v>
      </c>
      <c r="C8" s="4">
        <v>1.6</v>
      </c>
      <c r="D8" s="2">
        <v>0.99</v>
      </c>
      <c r="E8" s="2">
        <v>65000</v>
      </c>
      <c r="F8" s="2">
        <v>1.98</v>
      </c>
      <c r="G8" s="3">
        <v>3.6999999999999998E-5</v>
      </c>
      <c r="H8" s="3">
        <v>1.21E-4</v>
      </c>
      <c r="J8" s="2">
        <v>16</v>
      </c>
      <c r="K8" s="4" t="str">
        <f t="shared" si="0"/>
        <v>46800+4680i</v>
      </c>
      <c r="L8" s="2">
        <v>0.3</v>
      </c>
      <c r="M8" s="2" t="str">
        <f>COMPLEX(18000,18000*0.1)</f>
        <v>18000+1800i</v>
      </c>
      <c r="N8" t="str">
        <f t="shared" si="1"/>
        <v>39000+3900i</v>
      </c>
      <c r="O8">
        <f t="shared" si="2"/>
        <v>0.1</v>
      </c>
      <c r="P8">
        <f t="shared" si="3"/>
        <v>0.1</v>
      </c>
      <c r="Q8">
        <f t="shared" si="4"/>
        <v>0.1</v>
      </c>
    </row>
    <row r="9" spans="1:29" x14ac:dyDescent="0.15">
      <c r="B9" t="s">
        <v>7</v>
      </c>
      <c r="C9" s="4">
        <v>7.62</v>
      </c>
      <c r="D9" s="2">
        <v>0.95</v>
      </c>
      <c r="E9" s="2">
        <v>25000</v>
      </c>
      <c r="F9" s="2">
        <v>1.4</v>
      </c>
      <c r="G9" s="3">
        <v>9.2999999999999997E-5</v>
      </c>
      <c r="H9" s="3">
        <v>9.2999999999999997E-5</v>
      </c>
      <c r="J9" s="2">
        <v>30</v>
      </c>
      <c r="K9" s="4" t="str">
        <f t="shared" si="0"/>
        <v>42000+2100i</v>
      </c>
      <c r="L9" s="2">
        <v>0</v>
      </c>
      <c r="M9" s="2" t="str">
        <f>COMPLEX(21000,21000*0.05)</f>
        <v>21000+1050i</v>
      </c>
      <c r="N9" t="str">
        <f t="shared" si="1"/>
        <v>14000+700i</v>
      </c>
      <c r="O9">
        <f t="shared" si="2"/>
        <v>0.05</v>
      </c>
      <c r="P9">
        <f t="shared" si="3"/>
        <v>0.05</v>
      </c>
      <c r="Q9">
        <f t="shared" si="4"/>
        <v>0.05</v>
      </c>
    </row>
    <row r="11" spans="1:29" x14ac:dyDescent="0.15">
      <c r="A11" t="s">
        <v>9</v>
      </c>
      <c r="B11" t="s">
        <v>10</v>
      </c>
      <c r="C11" s="4">
        <v>2.5</v>
      </c>
      <c r="D11" s="2">
        <v>0.99</v>
      </c>
      <c r="E11" s="2">
        <v>20000</v>
      </c>
      <c r="F11" s="2">
        <v>1</v>
      </c>
      <c r="G11" s="3">
        <v>1.4999999999999999E-4</v>
      </c>
      <c r="H11" s="3">
        <v>2.2000000000000001E-4</v>
      </c>
      <c r="J11" s="2">
        <v>60</v>
      </c>
      <c r="K11" s="2" t="str">
        <f>COMPLEX(20000,20000*0.5)</f>
        <v>20000+10000i</v>
      </c>
      <c r="L11" s="2">
        <v>0</v>
      </c>
      <c r="M11" t="str">
        <f>IMPRODUCT(K11,1/2/(1+L11))</f>
        <v>10000+5000i</v>
      </c>
      <c r="N11" t="str">
        <f>IMPRODUCT(K11,1/3/(1-2*L11))</f>
        <v>6666.66666666667+3333.33333333333i</v>
      </c>
      <c r="O11">
        <f t="shared" si="2"/>
        <v>0.5</v>
      </c>
      <c r="P11">
        <f t="shared" si="3"/>
        <v>0.5</v>
      </c>
      <c r="Q11">
        <f t="shared" si="4"/>
        <v>0.49999999999999922</v>
      </c>
      <c r="S11">
        <f>SQRT(X11*W11/T11)</f>
        <v>343.02266251663315</v>
      </c>
      <c r="T11" s="2">
        <v>1.2050000000000001</v>
      </c>
      <c r="U11" s="5">
        <f>V11*T11</f>
        <v>1.8207550000000002E-5</v>
      </c>
      <c r="V11" s="3">
        <v>1.5109999999999999E-5</v>
      </c>
      <c r="W11">
        <f>T11*AA11*AB11</f>
        <v>101275.55652499999</v>
      </c>
      <c r="X11" s="2">
        <v>1.4</v>
      </c>
      <c r="Y11" s="5">
        <f>Z11/T11/AC11</f>
        <v>2.122169236803534E-5</v>
      </c>
      <c r="Z11" s="3">
        <v>2.5700000000000001E-2</v>
      </c>
      <c r="AA11" s="2">
        <v>286.7</v>
      </c>
      <c r="AB11" s="2">
        <v>293.14999999999998</v>
      </c>
      <c r="AC11" s="3">
        <v>1005</v>
      </c>
    </row>
    <row r="12" spans="1:29" x14ac:dyDescent="0.15">
      <c r="A12" t="s">
        <v>75</v>
      </c>
      <c r="B12" t="s">
        <v>11</v>
      </c>
      <c r="C12" t="s">
        <v>59</v>
      </c>
      <c r="D12" s="2">
        <v>0.93</v>
      </c>
      <c r="E12" s="3">
        <v>80000</v>
      </c>
      <c r="F12" s="2">
        <v>2.5</v>
      </c>
      <c r="G12" s="3">
        <v>1.0000000000000001E-5</v>
      </c>
      <c r="H12" s="3">
        <v>1E-4</v>
      </c>
      <c r="J12" s="2">
        <v>30</v>
      </c>
      <c r="K12" s="2" t="str">
        <f>COMPLEX(430000,100000)</f>
        <v>430000+100000i</v>
      </c>
      <c r="L12" t="str">
        <f>IMDIV(IMSUM(K12,IMPRODUCT(-2,M12)),IMPRODUCT(2,M12))</f>
        <v>0.354716981132075+0.0584905660377358i</v>
      </c>
      <c r="M12" s="2" t="str">
        <f>COMPLEX(160000,30000)</f>
        <v>160000+30000i</v>
      </c>
      <c r="N12" t="str">
        <f>IMDIV(IMPRODUCT(K12,M12),IMPRODUCT(3,IMSUB(IMPRODUCT(3,M12),K12)))</f>
        <v>384743.58974359+269615.384615385i</v>
      </c>
      <c r="O12">
        <f t="shared" si="2"/>
        <v>0.23255813953488372</v>
      </c>
      <c r="P12">
        <f t="shared" si="3"/>
        <v>0.1875</v>
      </c>
      <c r="Q12">
        <f t="shared" si="4"/>
        <v>0.70076641119626837</v>
      </c>
      <c r="S12">
        <f>SQRT(X12*W12/T12)</f>
        <v>343.02266251663315</v>
      </c>
      <c r="T12" s="2">
        <v>1.2050000000000001</v>
      </c>
      <c r="U12" s="5">
        <f>V12*T12</f>
        <v>1.8207550000000002E-5</v>
      </c>
      <c r="V12" s="3">
        <v>1.5109999999999999E-5</v>
      </c>
      <c r="W12">
        <f>T12*AA12*AB12</f>
        <v>101275.55652499999</v>
      </c>
      <c r="X12" s="2">
        <v>1.4</v>
      </c>
      <c r="Y12" s="5">
        <f>Z12/T12/AC12</f>
        <v>2.122169236803534E-5</v>
      </c>
      <c r="Z12" s="3">
        <v>2.5700000000000001E-2</v>
      </c>
      <c r="AA12" s="2">
        <v>286.7</v>
      </c>
      <c r="AB12" s="2">
        <v>293.14999999999998</v>
      </c>
      <c r="AC12" s="3">
        <v>1005</v>
      </c>
    </row>
  </sheetData>
  <phoneticPr fontId="1"/>
  <pageMargins left="0.7" right="0.7" top="0.75" bottom="0.75" header="0.3" footer="0.3"/>
  <pageSetup paperSize="9" orientation="portrait" horizontalDpi="4294967293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30"/>
  <sheetViews>
    <sheetView topLeftCell="A2" workbookViewId="0">
      <selection activeCell="I10" sqref="I10"/>
    </sheetView>
  </sheetViews>
  <sheetFormatPr defaultRowHeight="13.5" x14ac:dyDescent="0.15"/>
  <cols>
    <col min="1" max="1" width="12.5" bestFit="1" customWidth="1"/>
    <col min="4" max="4" width="18.375" customWidth="1"/>
    <col min="8" max="8" width="15.25" bestFit="1" customWidth="1"/>
    <col min="9" max="9" width="12.75" bestFit="1" customWidth="1"/>
  </cols>
  <sheetData>
    <row r="1" spans="1:14" x14ac:dyDescent="0.15">
      <c r="A1" s="6"/>
      <c r="B1" s="6"/>
      <c r="C1" s="6"/>
      <c r="D1" s="6"/>
      <c r="E1" s="6"/>
      <c r="F1" s="6"/>
      <c r="G1" s="6"/>
      <c r="H1" s="7"/>
      <c r="I1" s="7"/>
      <c r="J1" s="7"/>
      <c r="K1" s="7"/>
      <c r="L1" s="7"/>
      <c r="M1" s="7"/>
      <c r="N1" s="7"/>
    </row>
    <row r="2" spans="1:14" x14ac:dyDescent="0.15">
      <c r="A2" s="6" t="s">
        <v>81</v>
      </c>
      <c r="B2" s="6"/>
      <c r="C2" s="6"/>
      <c r="D2" s="4" t="s">
        <v>108</v>
      </c>
      <c r="E2" s="6" t="s">
        <v>98</v>
      </c>
      <c r="F2" s="6"/>
      <c r="G2" s="6"/>
      <c r="H2" s="7" t="s">
        <v>105</v>
      </c>
      <c r="I2" s="7" t="s">
        <v>104</v>
      </c>
      <c r="J2" s="7"/>
      <c r="K2" s="7"/>
      <c r="L2" s="7"/>
      <c r="M2" s="7"/>
      <c r="N2" s="7"/>
    </row>
    <row r="4" spans="1:14" x14ac:dyDescent="0.15">
      <c r="A4" t="s">
        <v>26</v>
      </c>
      <c r="B4" t="s">
        <v>27</v>
      </c>
      <c r="C4" t="s">
        <v>28</v>
      </c>
      <c r="D4">
        <f ca="1">IF(OFFSET(list!C1,MATCH($D$2,list!$B$1:$B$40,0)-1,0)="",NA(),OFFSET(list!C1,MATCH($D$2,list!$B$1:$B$40,0)-1,0))</f>
        <v>10</v>
      </c>
      <c r="H4" s="1" t="s">
        <v>89</v>
      </c>
      <c r="I4">
        <v>300</v>
      </c>
    </row>
    <row r="5" spans="1:14" x14ac:dyDescent="0.15">
      <c r="A5" s="1" t="s">
        <v>40</v>
      </c>
      <c r="B5" s="1" t="s">
        <v>14</v>
      </c>
      <c r="C5" s="1" t="s">
        <v>49</v>
      </c>
      <c r="D5">
        <f ca="1">IF(OFFSET(list!D1,MATCH($D$2,list!$B$1:$B$40,0)-1,0)="",NA(),OFFSET(list!D1,MATCH($D$2,list!$B$1:$B$40,0)-1,0))</f>
        <v>0.94</v>
      </c>
      <c r="H5" s="1" t="s">
        <v>138</v>
      </c>
      <c r="I5">
        <f>2*PI()*I4</f>
        <v>1884.9555921538758</v>
      </c>
    </row>
    <row r="6" spans="1:14" x14ac:dyDescent="0.15">
      <c r="A6" s="1" t="s">
        <v>15</v>
      </c>
      <c r="B6" s="1" t="s">
        <v>16</v>
      </c>
      <c r="C6" s="1" t="s">
        <v>60</v>
      </c>
      <c r="D6">
        <f ca="1">IF(OFFSET(list!E1,MATCH($D$2,list!$B$1:$B$40,0)-1,0)="",NA(),OFFSET(list!E1,MATCH($D$2,list!$B$1:$B$40,0)-1,0))</f>
        <v>40000</v>
      </c>
      <c r="H6" s="1" t="s">
        <v>99</v>
      </c>
      <c r="I6">
        <f>I5/I9</f>
        <v>5.4951342815796451</v>
      </c>
    </row>
    <row r="7" spans="1:14" x14ac:dyDescent="0.15">
      <c r="A7" s="1" t="s">
        <v>17</v>
      </c>
      <c r="B7" s="1" t="s">
        <v>18</v>
      </c>
      <c r="C7" s="1" t="s">
        <v>49</v>
      </c>
      <c r="D7">
        <f ca="1">IF(OFFSET(list!F1,MATCH($D$2,list!$B$1:$B$40,0)-1,0)="",NA(),OFFSET(list!F1,MATCH($D$2,list!$B$1:$B$40,0)-1,0))</f>
        <v>1.06</v>
      </c>
      <c r="H7" s="1" t="s">
        <v>101</v>
      </c>
      <c r="I7">
        <f>2*PI()/I6</f>
        <v>1.1434088750554439</v>
      </c>
    </row>
    <row r="8" spans="1:14" x14ac:dyDescent="0.15">
      <c r="A8" s="1" t="s">
        <v>19</v>
      </c>
      <c r="B8" s="1" t="s">
        <v>20</v>
      </c>
      <c r="C8" s="1" t="s">
        <v>61</v>
      </c>
      <c r="D8">
        <f ca="1">IF(OFFSET(list!G1,MATCH($D$2,list!$B$1:$B$40,0)-1,0)="",NA(),OFFSET(list!G1,MATCH($D$2,list!$B$1:$B$40,0)-1,0))</f>
        <v>5.5999999999999999E-5</v>
      </c>
    </row>
    <row r="9" spans="1:14" x14ac:dyDescent="0.15">
      <c r="A9" s="1" t="s">
        <v>21</v>
      </c>
      <c r="B9" s="1" t="s">
        <v>22</v>
      </c>
      <c r="C9" s="1" t="s">
        <v>61</v>
      </c>
      <c r="D9">
        <f ca="1">IF(OFFSET(list!H1,MATCH($D$2,list!$B$1:$B$40,0)-1,0)="",NA(),OFFSET(list!H1,MATCH($D$2,list!$B$1:$B$40,0)-1,0))</f>
        <v>1.1E-4</v>
      </c>
      <c r="H9" s="1" t="s">
        <v>82</v>
      </c>
      <c r="I9">
        <v>343.02266251663315</v>
      </c>
    </row>
    <row r="10" spans="1:14" x14ac:dyDescent="0.15">
      <c r="H10" s="1" t="s">
        <v>83</v>
      </c>
      <c r="I10">
        <v>1.2050000000000001</v>
      </c>
    </row>
    <row r="11" spans="1:14" x14ac:dyDescent="0.15">
      <c r="A11" s="1" t="s">
        <v>33</v>
      </c>
      <c r="B11" s="1" t="s">
        <v>34</v>
      </c>
      <c r="C11" s="1" t="s">
        <v>50</v>
      </c>
      <c r="D11">
        <f ca="1">IF(OFFSET(list!J1,MATCH($D$2,list!$B$1:$B$40,0)-1,0)="",NA(),OFFSET(list!J1,MATCH($D$2,list!$B$1:$B$40,0)-1,0))</f>
        <v>130</v>
      </c>
      <c r="H11" s="1" t="s">
        <v>84</v>
      </c>
      <c r="I11">
        <v>1.8207550000000002E-5</v>
      </c>
    </row>
    <row r="12" spans="1:14" x14ac:dyDescent="0.15">
      <c r="A12" t="s">
        <v>23</v>
      </c>
      <c r="B12" t="s">
        <v>24</v>
      </c>
      <c r="C12" t="s">
        <v>47</v>
      </c>
      <c r="D12" t="str">
        <f ca="1">IF(OFFSET(list!K1,MATCH($D$2,list!$B$1:$B$40,0)-1,0)="",NA(),OFFSET(list!K1,MATCH($D$2,list!$B$1:$B$40,0)-1,0))</f>
        <v>4400000+440000i</v>
      </c>
      <c r="H12" s="1" t="s">
        <v>85</v>
      </c>
      <c r="I12">
        <v>1.5109999999999999E-5</v>
      </c>
    </row>
    <row r="13" spans="1:14" x14ac:dyDescent="0.15">
      <c r="A13" s="1" t="s">
        <v>25</v>
      </c>
      <c r="B13" s="1"/>
      <c r="C13" s="1" t="s">
        <v>49</v>
      </c>
      <c r="D13">
        <f ca="1">IF(OFFSET(list!L1,MATCH($D$2,list!$B$1:$B$40,0)-1,0)="",NA(),OFFSET(list!L1,MATCH($D$2,list!$B$1:$B$40,0)-1,0))</f>
        <v>0</v>
      </c>
      <c r="H13" s="1" t="s">
        <v>86</v>
      </c>
      <c r="I13">
        <v>101275.55652499999</v>
      </c>
    </row>
    <row r="14" spans="1:14" x14ac:dyDescent="0.15">
      <c r="A14" s="1" t="s">
        <v>29</v>
      </c>
      <c r="B14" s="1" t="s">
        <v>31</v>
      </c>
      <c r="C14" s="1" t="s">
        <v>47</v>
      </c>
      <c r="D14" t="str">
        <f ca="1">IF(OFFSET(list!M1,MATCH($D$2,list!$B$1:$B$40,0)-1,0)="",NA(),OFFSET(list!M1,MATCH($D$2,list!$B$1:$B$40,0)-1,0))</f>
        <v>2200000+220000i</v>
      </c>
      <c r="H14" s="1" t="s">
        <v>87</v>
      </c>
      <c r="I14">
        <v>1.4</v>
      </c>
    </row>
    <row r="15" spans="1:14" x14ac:dyDescent="0.15">
      <c r="A15" t="s">
        <v>30</v>
      </c>
      <c r="B15" t="s">
        <v>32</v>
      </c>
      <c r="C15" t="s">
        <v>47</v>
      </c>
      <c r="D15" t="str">
        <f ca="1">IF(OFFSET(list!N1,MATCH($D$2,list!$B$1:$B$40,0)-1,0)="",NA(),OFFSET(list!N1,MATCH($D$2,list!$B$1:$B$40,0)-1,0))</f>
        <v>1466666.66666667+146666.666666667i</v>
      </c>
      <c r="H15" s="1" t="s">
        <v>88</v>
      </c>
      <c r="I15">
        <v>2.122169236803534E-5</v>
      </c>
    </row>
    <row r="16" spans="1:14" x14ac:dyDescent="0.15">
      <c r="A16" s="1" t="s">
        <v>74</v>
      </c>
      <c r="B16" s="1" t="s">
        <v>73</v>
      </c>
      <c r="C16" s="1" t="s">
        <v>49</v>
      </c>
      <c r="D16">
        <f ca="1">IF(OFFSET(list!O1,MATCH($D$2,list!$B$1:$B$40,0)-1,0)="",NA(),OFFSET(list!O1,MATCH($D$2,list!$B$1:$B$40,0)-1,0))</f>
        <v>0.1</v>
      </c>
    </row>
    <row r="17" spans="1:10" x14ac:dyDescent="0.15">
      <c r="A17" s="1"/>
      <c r="B17" s="1"/>
      <c r="C17" s="1" t="s">
        <v>49</v>
      </c>
      <c r="D17">
        <f ca="1">IF(OFFSET(list!P1,MATCH($D$2,list!$B$1:$B$40,0)-1,0)="",NA(),OFFSET(list!P1,MATCH($D$2,list!$B$1:$B$40,0)-1,0))</f>
        <v>0.1</v>
      </c>
      <c r="H17" s="1" t="s">
        <v>94</v>
      </c>
      <c r="I17">
        <f ca="1">q0V(I11,D6)</f>
        <v>4.5518875000000002E-10</v>
      </c>
    </row>
    <row r="18" spans="1:10" x14ac:dyDescent="0.15">
      <c r="A18" s="1"/>
      <c r="B18" s="1"/>
      <c r="C18" s="1" t="s">
        <v>49</v>
      </c>
      <c r="D18">
        <f ca="1">IF(OFFSET(list!Q1,MATCH($D$2,list!$B$1:$B$40,0)-1,0)="",NA(),OFFSET(list!Q1,MATCH($D$2,list!$B$1:$B$40,0)-1,0))</f>
        <v>0.1</v>
      </c>
      <c r="H18" s="1" t="s">
        <v>90</v>
      </c>
      <c r="I18" t="str">
        <f ca="1">GV(I5,I12,D7,I17,D5,D8)</f>
        <v>1.00021957907441+0.0209572508642356i</v>
      </c>
    </row>
    <row r="19" spans="1:10" x14ac:dyDescent="0.15">
      <c r="H19" s="1" t="s">
        <v>95</v>
      </c>
      <c r="I19" t="str">
        <f ca="1">aV_dyn(D5,D7,I18,I12,I5,I17)</f>
        <v>1.32250829108359-15.5640594156815i</v>
      </c>
    </row>
    <row r="20" spans="1:10" x14ac:dyDescent="0.15">
      <c r="A20" s="1" t="s">
        <v>77</v>
      </c>
      <c r="B20" s="1" t="s">
        <v>78</v>
      </c>
      <c r="C20" s="1" t="s">
        <v>79</v>
      </c>
      <c r="D20" t="e">
        <f ca="1">IF(OFFSET(list!S1,MATCH($D$2,list!$B$1:$B$40,0)-1,0)="",NA(),OFFSET(list!S1,MATCH($D$2,list!$B$1:$B$40,0)-1,0))</f>
        <v>#N/A</v>
      </c>
      <c r="H20" s="1" t="s">
        <v>91</v>
      </c>
      <c r="I20" t="str">
        <f ca="1">rho_eff(I10,I19)</f>
        <v>1.59362249075573-18.7546915958962i</v>
      </c>
    </row>
    <row r="21" spans="1:10" x14ac:dyDescent="0.15">
      <c r="A21" s="1" t="s">
        <v>35</v>
      </c>
      <c r="B21" s="1" t="s">
        <v>36</v>
      </c>
      <c r="C21" s="1" t="s">
        <v>50</v>
      </c>
      <c r="D21" t="e">
        <f ca="1">IF(OFFSET(list!T1,MATCH($D$2,list!$B$1:$B$40,0)-1,0)="",NA(),OFFSET(list!T1,MATCH($D$2,list!$B$1:$B$40,0)-1,0))</f>
        <v>#N/A</v>
      </c>
    </row>
    <row r="22" spans="1:10" x14ac:dyDescent="0.15">
      <c r="A22" s="1" t="s">
        <v>37</v>
      </c>
      <c r="B22" s="1" t="s">
        <v>72</v>
      </c>
      <c r="C22" s="1" t="s">
        <v>71</v>
      </c>
      <c r="D22" t="e">
        <f ca="1">IF(OFFSET(list!U1,MATCH($D$2,list!$B$1:$B$40,0)-1,0)="",NA(),OFFSET(list!U1,MATCH($D$2,list!$B$1:$B$40,0)-1,0))</f>
        <v>#N/A</v>
      </c>
      <c r="H22" s="1" t="s">
        <v>92</v>
      </c>
      <c r="I22">
        <f ca="1">q0T(D5,D9)</f>
        <v>1.42175E-9</v>
      </c>
    </row>
    <row r="23" spans="1:10" x14ac:dyDescent="0.15">
      <c r="A23" t="s">
        <v>38</v>
      </c>
      <c r="B23" t="s">
        <v>39</v>
      </c>
      <c r="C23" t="s">
        <v>64</v>
      </c>
      <c r="D23" t="e">
        <f ca="1">IF(OFFSET(list!V1,MATCH($D$2,list!$B$1:$B$40,0)-1,0)="",NA(),OFFSET(list!V1,MATCH($D$2,list!$B$1:$B$40,0)-1,0))</f>
        <v>#N/A</v>
      </c>
      <c r="H23" s="1" t="s">
        <v>80</v>
      </c>
      <c r="I23" t="str">
        <f ca="1">GT(I5,I15,I22,D5,D9)</f>
        <v>1.00056321169043+0.0335669567919493i</v>
      </c>
    </row>
    <row r="24" spans="1:10" x14ac:dyDescent="0.15">
      <c r="A24" s="1" t="s">
        <v>41</v>
      </c>
      <c r="B24" s="1" t="s">
        <v>42</v>
      </c>
      <c r="C24" s="1" t="s">
        <v>47</v>
      </c>
      <c r="D24" t="e">
        <f ca="1">IF(OFFSET(list!W1,MATCH($D$2,list!$B$1:$B$40,0)-1,0)="",NA(),OFFSET(list!W1,MATCH($D$2,list!$B$1:$B$40,0)-1,0))</f>
        <v>#N/A</v>
      </c>
      <c r="H24" s="1" t="s">
        <v>93</v>
      </c>
      <c r="I24" t="str">
        <f ca="1">aT_dyn(I23,I15,D5,I5,I22)</f>
        <v>1.24985927633461-7.44780057213763i</v>
      </c>
    </row>
    <row r="25" spans="1:10" x14ac:dyDescent="0.15">
      <c r="A25" s="1" t="s">
        <v>43</v>
      </c>
      <c r="B25" s="1" t="s">
        <v>44</v>
      </c>
      <c r="C25" s="1" t="s">
        <v>49</v>
      </c>
      <c r="D25" t="e">
        <f ca="1">IF(OFFSET(list!X1,MATCH($D$2,list!$B$1:$B$40,0)-1,0)="",NA(),OFFSET(list!X1,MATCH($D$2,list!$B$1:$B$40,0)-1,0))</f>
        <v>#N/A</v>
      </c>
      <c r="H25" s="1" t="s">
        <v>96</v>
      </c>
      <c r="I25" t="str">
        <f ca="1">K_eff(I14,I13,I24)</f>
        <v>101770.214665607+3821.12153096393i</v>
      </c>
    </row>
    <row r="26" spans="1:10" x14ac:dyDescent="0.15">
      <c r="A26" s="1" t="s">
        <v>45</v>
      </c>
      <c r="B26" s="1" t="s">
        <v>46</v>
      </c>
      <c r="C26" s="1" t="s">
        <v>64</v>
      </c>
      <c r="D26" t="e">
        <f ca="1">IF(OFFSET(list!Y1,MATCH($D$2,list!$B$1:$B$40,0)-1,0)="",NA(),OFFSET(list!Y1,MATCH($D$2,list!$B$1:$B$40,0)-1,0))</f>
        <v>#N/A</v>
      </c>
    </row>
    <row r="27" spans="1:10" x14ac:dyDescent="0.15">
      <c r="A27" t="s">
        <v>66</v>
      </c>
      <c r="B27" t="s">
        <v>67</v>
      </c>
      <c r="C27" t="s">
        <v>68</v>
      </c>
      <c r="D27" t="e">
        <f ca="1">IF(OFFSET(list!Z1,MATCH($D$2,list!$B$1:$B$40,0)-1,0)="",NA(),OFFSET(list!Z1,MATCH($D$2,list!$B$1:$B$40,0)-1,0))</f>
        <v>#N/A</v>
      </c>
      <c r="H27" s="1" t="s">
        <v>97</v>
      </c>
      <c r="I27" t="str">
        <f ca="1">IMSQRT(IMPRODUCT(I25,I20))</f>
        <v>1037.00147310559-917.346606457636i</v>
      </c>
    </row>
    <row r="28" spans="1:10" x14ac:dyDescent="0.15">
      <c r="A28" t="s">
        <v>51</v>
      </c>
      <c r="B28" t="s">
        <v>53</v>
      </c>
      <c r="C28" t="s">
        <v>69</v>
      </c>
      <c r="D28" t="e">
        <f ca="1">IF(OFFSET(list!AA1,MATCH($D$2,list!$B$1:$B$40,0)-1,0)="",NA(),OFFSET(list!AA1,MATCH($D$2,list!$B$1:$B$40,0)-1,0))</f>
        <v>#N/A</v>
      </c>
      <c r="H28" s="1" t="s">
        <v>100</v>
      </c>
      <c r="I28" t="str">
        <f ca="1">IMPRODUCT(I5,IMSQRT(IMDIV(I20,I25)))</f>
        <v>18.5429249403787-17.687025535289i</v>
      </c>
    </row>
    <row r="29" spans="1:10" x14ac:dyDescent="0.15">
      <c r="A29" t="s">
        <v>52</v>
      </c>
      <c r="B29" t="s">
        <v>54</v>
      </c>
      <c r="C29" t="s">
        <v>63</v>
      </c>
      <c r="D29" t="e">
        <f ca="1">IF(OFFSET(list!AB1,MATCH($D$2,list!$B$1:$B$40,0)-1,0)="",NA(),OFFSET(list!AB1,MATCH($D$2,list!$B$1:$B$40,0)-1,0))</f>
        <v>#N/A</v>
      </c>
      <c r="H29" s="1" t="s">
        <v>102</v>
      </c>
      <c r="I29">
        <f ca="1">2*PI()/IMREAL(I28)</f>
        <v>0.33884542634897086</v>
      </c>
      <c r="J29" t="s">
        <v>103</v>
      </c>
    </row>
    <row r="30" spans="1:10" x14ac:dyDescent="0.15">
      <c r="A30" t="s">
        <v>55</v>
      </c>
      <c r="B30" t="s">
        <v>56</v>
      </c>
      <c r="C30" t="s">
        <v>57</v>
      </c>
      <c r="D30" t="e">
        <f ca="1">IF(OFFSET(list!AC1,MATCH($D$2,list!$B$1:$B$40,0)-1,0)="",NA(),OFFSET(list!AC1,MATCH($D$2,list!$B$1:$B$40,0)-1,0))</f>
        <v>#N/A</v>
      </c>
      <c r="H30" s="1" t="s">
        <v>106</v>
      </c>
      <c r="I30">
        <f ca="1">EXP(IMAGINARY(I28)*I29)</f>
        <v>2.4957457207847385E-3</v>
      </c>
      <c r="J30" t="s">
        <v>107</v>
      </c>
    </row>
  </sheetData>
  <phoneticPr fontId="1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list!$B$4:$B$39</xm:f>
          </x14:formula1>
          <xm:sqref>D2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03"/>
  <sheetViews>
    <sheetView tabSelected="1" zoomScale="70" zoomScaleNormal="70" workbookViewId="0">
      <selection activeCell="T7" sqref="T7"/>
    </sheetView>
  </sheetViews>
  <sheetFormatPr defaultRowHeight="13.5" x14ac:dyDescent="0.15"/>
  <cols>
    <col min="3" max="3" width="13" customWidth="1"/>
    <col min="4" max="4" width="12.375" customWidth="1"/>
    <col min="7" max="7" width="13.25" customWidth="1"/>
    <col min="9" max="9" width="9.25" customWidth="1"/>
  </cols>
  <sheetData>
    <row r="1" spans="1:19" x14ac:dyDescent="0.15">
      <c r="A1" t="s">
        <v>139</v>
      </c>
      <c r="B1" t="s">
        <v>140</v>
      </c>
      <c r="C1" t="s">
        <v>132</v>
      </c>
      <c r="D1" t="s">
        <v>133</v>
      </c>
      <c r="E1" t="s">
        <v>134</v>
      </c>
      <c r="F1" t="s">
        <v>135</v>
      </c>
      <c r="G1" t="s">
        <v>136</v>
      </c>
      <c r="H1" t="s">
        <v>137</v>
      </c>
      <c r="I1" t="s">
        <v>141</v>
      </c>
      <c r="J1" t="s">
        <v>142</v>
      </c>
      <c r="K1" t="s">
        <v>143</v>
      </c>
      <c r="L1" t="s">
        <v>144</v>
      </c>
      <c r="M1" t="s">
        <v>145</v>
      </c>
      <c r="N1" t="s">
        <v>146</v>
      </c>
      <c r="O1" t="s">
        <v>147</v>
      </c>
      <c r="P1" t="s">
        <v>148</v>
      </c>
      <c r="Q1" t="s">
        <v>149</v>
      </c>
      <c r="R1" t="s">
        <v>150</v>
      </c>
      <c r="S1" t="s">
        <v>151</v>
      </c>
    </row>
    <row r="2" spans="1:19" x14ac:dyDescent="0.15">
      <c r="A2">
        <v>300</v>
      </c>
      <c r="B2">
        <f>2*PI()*A2</f>
        <v>1884.9555921538758</v>
      </c>
      <c r="C2" s="5">
        <f>data!O2</f>
        <v>-17.251000000000001</v>
      </c>
      <c r="D2" s="5">
        <f>data!B2</f>
        <v>-19.024999999999999</v>
      </c>
      <c r="E2" s="5">
        <f>data!G2</f>
        <v>2.9250999999999998E-8</v>
      </c>
      <c r="F2" s="5">
        <f>data!J2</f>
        <v>3.9214000000000001E-9</v>
      </c>
      <c r="G2" t="str">
        <f>COMPLEX(C2,D2)</f>
        <v>-17.251-19.025i</v>
      </c>
      <c r="H2" t="str">
        <f>COMPLEX(E2,F2)</f>
        <v>0.000000029251+0.0000000039214i</v>
      </c>
      <c r="I2" t="str">
        <f ca="1">rhoo(B2)</f>
        <v>1.59362249075573-18.7546915958962i</v>
      </c>
      <c r="J2" t="str">
        <f ca="1">IMSUB(analytical!$D$5*analytical!$I$10,I2)</f>
        <v>-0.46092249075573+18.7546915958962i</v>
      </c>
      <c r="K2" t="str">
        <f ca="1">IMPRODUCT(analytical!$D$5/numerical!B2^2,IMDIV(numerical!G2,numerical!I2))</f>
        <v>2.45920485147662E-07-2.64245558583964E-07i</v>
      </c>
      <c r="L2" t="str">
        <f ca="1">IMPRODUCT(IMDIV(I2,J2),H2)</f>
        <v>-2.90576990109687E-08-5.69278100637174E-09i</v>
      </c>
      <c r="M2" t="str">
        <f ca="1">IMSUB(K2,L2)</f>
        <v>2.74978184158631E-07-2.58552777577592E-07i</v>
      </c>
      <c r="N2" t="str">
        <f ca="1">IMPRODUCT(M2,COMPLEX(0,B2))</f>
        <v>0.0004873605039618+0.000518321665950131i</v>
      </c>
      <c r="O2" t="str">
        <f>IMPRODUCT(H2,COMPLEX(0,B2))</f>
        <v>-7.39166485907223E-06+0.0000551368360260931i</v>
      </c>
      <c r="P2" t="str">
        <f ca="1">IMSUM(IMPRODUCT(analytical!$D$5,numerical!N2),IMPRODUCT(1-analytical!$D$5,numerical!O2))</f>
        <v>0.000457675373832548+0.000490530576154689i</v>
      </c>
      <c r="Q2" t="str">
        <f ca="1">IMDIV(1,P2)</f>
        <v>1016.8598070574-1089.85725591369i</v>
      </c>
      <c r="R2">
        <f ca="1">IMREAL(Q2)</f>
        <v>1016.8598070574</v>
      </c>
      <c r="S2">
        <f ca="1">IMAGINARY(Q2)</f>
        <v>-1089.8572559136901</v>
      </c>
    </row>
    <row r="3" spans="1:19" x14ac:dyDescent="0.15">
      <c r="A3">
        <f>A2+10</f>
        <v>310</v>
      </c>
      <c r="B3">
        <f t="shared" ref="B3:B66" si="0">2*PI()*A3</f>
        <v>1947.7874452256717</v>
      </c>
      <c r="C3" s="5">
        <f>data!O3</f>
        <v>-17.433</v>
      </c>
      <c r="D3" s="5">
        <f>data!B3</f>
        <v>-19.213999999999999</v>
      </c>
      <c r="E3" s="5">
        <f>data!G3</f>
        <v>3.0870999999999999E-8</v>
      </c>
      <c r="F3" s="5">
        <f>data!J3</f>
        <v>3.4841E-9</v>
      </c>
      <c r="G3" t="str">
        <f t="shared" ref="G3:G66" si="1">COMPLEX(C3,D3)</f>
        <v>-17.433-19.214i</v>
      </c>
      <c r="H3" t="str">
        <f t="shared" ref="H3:H66" si="2">COMPLEX(E3,F3)</f>
        <v>0.000000030871+0.0000000034841i</v>
      </c>
      <c r="I3" t="str">
        <f ca="1">rhoo(B3)</f>
        <v>1.59361664728435-18.1499714413676i</v>
      </c>
      <c r="J3" t="str">
        <f ca="1">IMSUB(analytical!$D$5*analytical!$I$10,I3)</f>
        <v>-0.46091664728435+18.1499714413676i</v>
      </c>
      <c r="K3" t="str">
        <f ca="1">IMPRODUCT(analytical!$D$5/numerical!B3^2,IMDIV(numerical!G3,numerical!I3))</f>
        <v>2.39550837650936E-07-2.59013460631588E-07i</v>
      </c>
      <c r="L3" t="str">
        <f t="shared" ref="L3:L66" ca="1" si="3">IMPRODUCT(IMDIV(I3,J3),H3)</f>
        <v>-3.07025991383611E-08-5.41496807732772E-09i</v>
      </c>
      <c r="M3" t="str">
        <f t="shared" ref="M3:M66" ca="1" si="4">IMSUB(K3,L3)</f>
        <v>2.70253436789297E-07-2.5359849255426E-07i</v>
      </c>
      <c r="N3" t="str">
        <f t="shared" ref="N3:N66" ca="1" si="5">IMPRODUCT(M3,COMPLEX(0,B3))</f>
        <v>0.000493955959925343+0.000526396251207282i</v>
      </c>
      <c r="O3" t="str">
        <f t="shared" ref="O3:O66" si="6">IMPRODUCT(H3,COMPLEX(0,B3))</f>
        <v>-6.78628623791076E-06+0.0000601301462215617i</v>
      </c>
      <c r="P3" t="str">
        <f ca="1">IMSUM(IMPRODUCT(analytical!$D$5,numerical!N3),IMPRODUCT(1-analytical!$D$5,numerical!O3))</f>
        <v>0.000463911425155547+0.000498420284908139i</v>
      </c>
      <c r="Q3" t="str">
        <f t="shared" ref="Q3:Q66" ca="1" si="7">IMDIV(1,P3)</f>
        <v>1000.59277969695-1075.02361720529i</v>
      </c>
      <c r="R3">
        <f t="shared" ref="R3:R66" ca="1" si="8">IMREAL(Q3)</f>
        <v>1000.5927796969499</v>
      </c>
      <c r="S3">
        <f t="shared" ref="S3:S66" ca="1" si="9">IMAGINARY(Q3)</f>
        <v>-1075.0236172052901</v>
      </c>
    </row>
    <row r="4" spans="1:19" x14ac:dyDescent="0.15">
      <c r="A4">
        <f t="shared" ref="A4:A67" si="10">A3+10</f>
        <v>320</v>
      </c>
      <c r="B4">
        <f t="shared" si="0"/>
        <v>2010.6192982974676</v>
      </c>
      <c r="C4" s="5">
        <f>data!O4</f>
        <v>-17.620999999999999</v>
      </c>
      <c r="D4" s="5">
        <f>data!B4</f>
        <v>-19.39</v>
      </c>
      <c r="E4" s="5">
        <f>data!G4</f>
        <v>3.2689999999999997E-8</v>
      </c>
      <c r="F4" s="5">
        <f>data!J4</f>
        <v>2.9746E-9</v>
      </c>
      <c r="G4" t="str">
        <f t="shared" si="1"/>
        <v>-17.621-19.39i</v>
      </c>
      <c r="H4" t="str">
        <f t="shared" si="2"/>
        <v>0.00000003269+0.0000000029746i</v>
      </c>
      <c r="I4" t="str">
        <f ca="1">rhoo(B4)</f>
        <v>1.59361061286202-17.5830548486458i</v>
      </c>
      <c r="J4" t="str">
        <f ca="1">IMSUB(analytical!$D$5*analytical!$I$10,I4)</f>
        <v>-0.46091061286202+17.5830548486458i</v>
      </c>
      <c r="K4" t="str">
        <f ca="1">IMPRODUCT(analytical!$D$5/numerical!B4^2,IMDIV(numerical!G4,numerical!I4))</f>
        <v>2.33382828772491E-07-2.54178260406506E-07i</v>
      </c>
      <c r="L4" t="str">
        <f t="shared" ca="1" si="3"/>
        <v>-3.25536723988906E-08-5.08406267059127E-09i</v>
      </c>
      <c r="M4" t="str">
        <f t="shared" ca="1" si="4"/>
        <v>2.65936501171382E-07-2.49094197735915E-07i</v>
      </c>
      <c r="N4" t="str">
        <f t="shared" ca="1" si="5"/>
        <v>0.000500833601061757+0.000534697061376888i</v>
      </c>
      <c r="O4" t="str">
        <f t="shared" si="6"/>
        <v>-5.98078816471565E-06+0.0000657271448613443i</v>
      </c>
      <c r="P4" t="str">
        <f ca="1">IMSUM(IMPRODUCT(analytical!$D$5,numerical!N4),IMPRODUCT(1-analytical!$D$5,numerical!O4))</f>
        <v>0.000470424737708169+0.000506558866385956i</v>
      </c>
      <c r="Q4" t="str">
        <f t="shared" ca="1" si="7"/>
        <v>984.35538686084-1059.96540768327i</v>
      </c>
      <c r="R4">
        <f t="shared" ca="1" si="8"/>
        <v>984.35538686083999</v>
      </c>
      <c r="S4">
        <f t="shared" ca="1" si="9"/>
        <v>-1059.9654076832701</v>
      </c>
    </row>
    <row r="5" spans="1:19" x14ac:dyDescent="0.15">
      <c r="A5">
        <f t="shared" si="10"/>
        <v>330</v>
      </c>
      <c r="B5">
        <f t="shared" si="0"/>
        <v>2073.4511513692632</v>
      </c>
      <c r="C5" s="5">
        <f>data!O5</f>
        <v>-17.812999999999999</v>
      </c>
      <c r="D5" s="5">
        <f>data!B5</f>
        <v>-19.552</v>
      </c>
      <c r="E5" s="5">
        <f>data!G5</f>
        <v>3.4750999999999998E-8</v>
      </c>
      <c r="F5" s="5">
        <f>data!J5</f>
        <v>2.3677E-9</v>
      </c>
      <c r="G5" t="str">
        <f t="shared" si="1"/>
        <v>-17.813-19.552i</v>
      </c>
      <c r="H5" t="str">
        <f t="shared" si="2"/>
        <v>0.000000034751+0.0000000023677i</v>
      </c>
      <c r="I5" t="str">
        <f ca="1">rhoo(B5)</f>
        <v>1.59360438755036-17.0505051283843i</v>
      </c>
      <c r="J5" t="str">
        <f ca="1">IMSUB(analytical!$D$5*analytical!$I$10,I5)</f>
        <v>-0.46090438755036+17.0505051283843i</v>
      </c>
      <c r="K5" t="str">
        <f ca="1">IMPRODUCT(analytical!$D$5/numerical!B5^2,IMDIV(numerical!G5,numerical!I5))</f>
        <v>2.27387379005304E-07-2.49675598304222E-07i</v>
      </c>
      <c r="L5" t="str">
        <f t="shared" ca="1" si="3"/>
        <v>-3.46561830002146E-08-4.6788432168432E-09i</v>
      </c>
      <c r="M5" t="str">
        <f t="shared" ca="1" si="4"/>
        <v>2.62043562005519E-07-2.44996755087379E-07i</v>
      </c>
      <c r="N5" t="str">
        <f t="shared" ca="1" si="5"/>
        <v>0.000507988803917659+0.000543334525349245i</v>
      </c>
      <c r="O5" t="str">
        <f t="shared" si="6"/>
        <v>-0.000004909310291097+0.0000720545009612331i</v>
      </c>
      <c r="P5" t="str">
        <f ca="1">IMSUM(IMPRODUCT(analytical!$D$5,numerical!N5),IMPRODUCT(1-analytical!$D$5,numerical!O5))</f>
        <v>0.000477214917065133+0.000515057723885964i</v>
      </c>
      <c r="Q5" t="str">
        <f t="shared" ca="1" si="7"/>
        <v>967.945183020851-1044.70255431068i</v>
      </c>
      <c r="R5">
        <f t="shared" ca="1" si="8"/>
        <v>967.945183020851</v>
      </c>
      <c r="S5">
        <f t="shared" ca="1" si="9"/>
        <v>-1044.7025543106799</v>
      </c>
    </row>
    <row r="6" spans="1:19" x14ac:dyDescent="0.15">
      <c r="A6">
        <f t="shared" si="10"/>
        <v>340</v>
      </c>
      <c r="B6">
        <f t="shared" si="0"/>
        <v>2136.2830044410593</v>
      </c>
      <c r="C6" s="5">
        <f>data!O6</f>
        <v>-18.010999999999999</v>
      </c>
      <c r="D6" s="5">
        <f>data!B6</f>
        <v>-19.699000000000002</v>
      </c>
      <c r="E6" s="5">
        <f>data!G6</f>
        <v>3.7107000000000003E-8</v>
      </c>
      <c r="F6" s="5">
        <f>data!J6</f>
        <v>1.6283000000000001E-9</v>
      </c>
      <c r="G6" t="str">
        <f t="shared" si="1"/>
        <v>-18.011-19.699i</v>
      </c>
      <c r="H6" t="str">
        <f t="shared" si="2"/>
        <v>0.000000037107+0.0000000016283i</v>
      </c>
      <c r="I6" t="str">
        <f t="shared" ref="I6:I69" ca="1" si="11">rhoo(B6)</f>
        <v>1.59359797141292-16.5492899075713i</v>
      </c>
      <c r="J6" t="str">
        <f ca="1">IMSUB(analytical!$D$5*analytical!$I$10,I6)</f>
        <v>-0.46089797141292+16.5492899075713i</v>
      </c>
      <c r="K6" t="str">
        <f ca="1">IMPRODUCT(analytical!$D$5/numerical!B6^2,IMDIV(numerical!G6,numerical!I6))</f>
        <v>2.21534400477641E-07-2.45497927496854E-07i</v>
      </c>
      <c r="L6" t="str">
        <f t="shared" ca="1" si="3"/>
        <v>-3.70663162930765E-08-4.16918545024235E-09i</v>
      </c>
      <c r="M6" t="str">
        <f t="shared" ca="1" si="4"/>
        <v>2.58600716770718E-07-2.41328742046612E-07i</v>
      </c>
      <c r="N6" t="str">
        <f t="shared" ca="1" si="5"/>
        <v>0.000515546490117318+0.000552444316173561i</v>
      </c>
      <c r="O6" t="str">
        <f t="shared" si="6"/>
        <v>-3.47850961613138E-06+0.0000792710534457944i</v>
      </c>
      <c r="P6" t="str">
        <f ca="1">IMSUM(IMPRODUCT(analytical!$D$5,numerical!N6),IMPRODUCT(1-analytical!$D$5,numerical!O6))</f>
        <v>0.000484404990133311+0.000524053920409895i</v>
      </c>
      <c r="Q6" t="str">
        <f t="shared" ca="1" si="7"/>
        <v>951.155196852228-1029.00799946647i</v>
      </c>
      <c r="R6">
        <f t="shared" ca="1" si="8"/>
        <v>951.15519685222796</v>
      </c>
      <c r="S6">
        <f t="shared" ca="1" si="9"/>
        <v>-1029.00799946647</v>
      </c>
    </row>
    <row r="7" spans="1:19" x14ac:dyDescent="0.15">
      <c r="A7">
        <f t="shared" si="10"/>
        <v>350</v>
      </c>
      <c r="B7">
        <f t="shared" si="0"/>
        <v>2199.114857512855</v>
      </c>
      <c r="C7" s="5">
        <f>data!O7</f>
        <v>-18.215</v>
      </c>
      <c r="D7" s="5">
        <f>data!B7</f>
        <v>-19.831</v>
      </c>
      <c r="E7" s="5">
        <f>data!G7</f>
        <v>3.9827000000000003E-8</v>
      </c>
      <c r="F7" s="5">
        <f>data!J7</f>
        <v>7.0586999999999996E-10</v>
      </c>
      <c r="G7" t="str">
        <f t="shared" si="1"/>
        <v>-18.215-19.831i</v>
      </c>
      <c r="H7" t="str">
        <f t="shared" si="2"/>
        <v>0.000000039827+0.00000000070587i</v>
      </c>
      <c r="I7" t="str">
        <f t="shared" ca="1" si="11"/>
        <v>1.5935913645152-16.0767233700543i</v>
      </c>
      <c r="J7" t="str">
        <f ca="1">IMSUB(analytical!$D$5*analytical!$I$10,I7)</f>
        <v>-0.4608913645152+16.0767233700543i</v>
      </c>
      <c r="K7" t="str">
        <f ca="1">IMPRODUCT(analytical!$D$5/numerical!B7^2,IMDIV(numerical!G7,numerical!I7))</f>
        <v>2.15811370316541E-07-2.41615618434287E-07i</v>
      </c>
      <c r="L7" t="str">
        <f t="shared" ca="1" si="3"/>
        <v>-3.98576865058746E-08-3.51103736628298E-09i</v>
      </c>
      <c r="M7" t="str">
        <f t="shared" ca="1" si="4"/>
        <v>2.55669056822416E-07-2.38104581068004E-07i</v>
      </c>
      <c r="N7" t="str">
        <f t="shared" ca="1" si="5"/>
        <v>0.00052361932186852+0.000562245621464472i</v>
      </c>
      <c r="O7" t="str">
        <f t="shared" si="6"/>
        <v>-0.0000015522892044726+0.0000875841474301643i</v>
      </c>
      <c r="P7" t="str">
        <f ca="1">IMSUM(IMPRODUCT(analytical!$D$5,numerical!N7),IMPRODUCT(1-analytical!$D$5,numerical!O7))</f>
        <v>0.000492109025204141+0.000533765933022414i</v>
      </c>
      <c r="Q7" t="str">
        <f t="shared" ca="1" si="7"/>
        <v>933.656155375473-1012.68991904665i</v>
      </c>
      <c r="R7">
        <f t="shared" ca="1" si="8"/>
        <v>933.65615537547296</v>
      </c>
      <c r="S7">
        <f t="shared" ca="1" si="9"/>
        <v>-1012.6899190466499</v>
      </c>
    </row>
    <row r="8" spans="1:19" x14ac:dyDescent="0.15">
      <c r="A8">
        <f t="shared" si="10"/>
        <v>360</v>
      </c>
      <c r="B8">
        <f t="shared" si="0"/>
        <v>2261.9467105846511</v>
      </c>
      <c r="C8" s="5">
        <f>data!O8</f>
        <v>-18.425999999999998</v>
      </c>
      <c r="D8" s="5">
        <f>data!B8</f>
        <v>-19.943999999999999</v>
      </c>
      <c r="E8" s="5">
        <f>data!G8</f>
        <v>4.3001999999999997E-8</v>
      </c>
      <c r="F8" s="5">
        <f>data!J8</f>
        <v>-4.7413E-10</v>
      </c>
      <c r="G8" t="str">
        <f t="shared" si="1"/>
        <v>-18.426-19.944i</v>
      </c>
      <c r="H8" t="str">
        <f t="shared" si="2"/>
        <v>0.000000043002-0.00000000047413i</v>
      </c>
      <c r="I8" t="str">
        <f t="shared" ca="1" si="11"/>
        <v>1.59358456692459-15.630418123643i</v>
      </c>
      <c r="J8" t="str">
        <f ca="1">IMSUB(analytical!$D$5*analytical!$I$10,I8)</f>
        <v>-0.46088456692459+15.630418123643i</v>
      </c>
      <c r="K8" t="str">
        <f ca="1">IMPRODUCT(analytical!$D$5/numerical!B8^2,IMDIV(numerical!G8,numerical!I8))</f>
        <v>2.1015945826468E-07-2.38009221405133E-07i</v>
      </c>
      <c r="L8" t="str">
        <f t="shared" ca="1" si="3"/>
        <v>-4.31281365245308E-08-2.63840548290744E-09i</v>
      </c>
      <c r="M8" t="str">
        <f t="shared" ca="1" si="4"/>
        <v>2.53287594789211E-07-2.35370815922226E-07i</v>
      </c>
      <c r="N8" t="str">
        <f t="shared" ca="1" si="5"/>
        <v>0.000532396242842904+0.000572923041865354i</v>
      </c>
      <c r="O8" t="str">
        <f t="shared" si="6"/>
        <v>0.0000010724567938895+0.0000972682324485611i</v>
      </c>
      <c r="P8" t="str">
        <f ca="1">IMSUM(IMPRODUCT(analytical!$D$5,numerical!N8),IMPRODUCT(1-analytical!$D$5,numerical!O8))</f>
        <v>0.000500516815679963+0.000544383753300347i</v>
      </c>
      <c r="Q8" t="str">
        <f t="shared" ca="1" si="7"/>
        <v>915.237855292785-995.452306931936i</v>
      </c>
      <c r="R8">
        <f t="shared" ca="1" si="8"/>
        <v>915.23785529278496</v>
      </c>
      <c r="S8">
        <f t="shared" ca="1" si="9"/>
        <v>-995.45230693193605</v>
      </c>
    </row>
    <row r="9" spans="1:19" x14ac:dyDescent="0.15">
      <c r="A9">
        <f t="shared" si="10"/>
        <v>370</v>
      </c>
      <c r="B9">
        <f t="shared" si="0"/>
        <v>2324.7785636564467</v>
      </c>
      <c r="C9" s="5">
        <f>data!O9</f>
        <v>-18.646000000000001</v>
      </c>
      <c r="D9" s="5">
        <f>data!B9</f>
        <v>-20.036999999999999</v>
      </c>
      <c r="E9" s="5">
        <f>data!G9</f>
        <v>4.6749999999999998E-8</v>
      </c>
      <c r="F9" s="5">
        <f>data!J9</f>
        <v>-2.0246999999999998E-9</v>
      </c>
      <c r="G9" t="str">
        <f t="shared" si="1"/>
        <v>-18.646-20.037i</v>
      </c>
      <c r="H9" t="str">
        <f t="shared" si="2"/>
        <v>0.00000004675-0.0000000020247i</v>
      </c>
      <c r="I9" t="str">
        <f t="shared" ca="1" si="11"/>
        <v>1.59357757871045-15.2082448725466i</v>
      </c>
      <c r="J9" t="str">
        <f ca="1">IMSUB(analytical!$D$5*analytical!$I$10,I9)</f>
        <v>-0.46087757871045+15.2082448725466i</v>
      </c>
      <c r="K9" t="str">
        <f ca="1">IMPRODUCT(analytical!$D$5/numerical!B9^2,IMDIV(numerical!G9,numerical!I9))</f>
        <v>2.04558947518692E-07-2.3467572824971E-07i</v>
      </c>
      <c r="L9" t="str">
        <f t="shared" ca="1" si="3"/>
        <v>-4.70060804968568E-08-1.44944863999401E-09i</v>
      </c>
      <c r="M9" t="str">
        <f t="shared" ca="1" si="4"/>
        <v>2.51565028015549E-07-2.33226279609716E-07i</v>
      </c>
      <c r="N9" t="str">
        <f t="shared" ca="1" si="5"/>
        <v>0.000542199455318013+0.000584832984496183i</v>
      </c>
      <c r="O9" t="str">
        <f t="shared" si="6"/>
        <v>4.70697915783521E-06+0.000108683397850939i</v>
      </c>
      <c r="P9" t="str">
        <f ca="1">IMSUM(IMPRODUCT(analytical!$D$5,numerical!N9),IMPRODUCT(1-analytical!$D$5,numerical!O9))</f>
        <v>0.000509949906748402+0.000556264009297468i</v>
      </c>
      <c r="Q9" t="str">
        <f t="shared" ca="1" si="7"/>
        <v>895.468146928209-976.795357772698i</v>
      </c>
      <c r="R9">
        <f t="shared" ca="1" si="8"/>
        <v>895.46814692820897</v>
      </c>
      <c r="S9">
        <f t="shared" ca="1" si="9"/>
        <v>-976.79535777269803</v>
      </c>
    </row>
    <row r="10" spans="1:19" x14ac:dyDescent="0.15">
      <c r="A10">
        <f t="shared" si="10"/>
        <v>380</v>
      </c>
      <c r="B10">
        <f t="shared" si="0"/>
        <v>2387.6104167282429</v>
      </c>
      <c r="C10" s="5">
        <f>data!O10</f>
        <v>-18.879000000000001</v>
      </c>
      <c r="D10" s="5">
        <f>data!B10</f>
        <v>-20.103999999999999</v>
      </c>
      <c r="E10" s="5">
        <f>data!G10</f>
        <v>5.1226999999999999E-8</v>
      </c>
      <c r="F10" s="5">
        <f>data!J10</f>
        <v>-4.1231000000000004E-9</v>
      </c>
      <c r="G10" t="str">
        <f t="shared" si="1"/>
        <v>-18.879-20.104i</v>
      </c>
      <c r="H10" t="str">
        <f t="shared" si="2"/>
        <v>0.000000051227-0.0000000041231i</v>
      </c>
      <c r="I10" t="str">
        <f t="shared" ca="1" si="11"/>
        <v>1.59357039994402-14.8082984573219i</v>
      </c>
      <c r="J10" t="str">
        <f ca="1">IMSUB(analytical!$D$5*analytical!$I$10,I10)</f>
        <v>-0.46087039994402+14.8082984573219i</v>
      </c>
      <c r="K10" t="str">
        <f ca="1">IMPRODUCT(analytical!$D$5/numerical!B10^2,IMDIV(numerical!G10,numerical!I10))</f>
        <v>1.9893459636993E-07-2.31628363840408E-07i</v>
      </c>
      <c r="L10" t="str">
        <f t="shared" ca="1" si="3"/>
        <v>-5.16639065631838E-08+2.18298529112783E-10i</v>
      </c>
      <c r="M10" t="str">
        <f t="shared" ca="1" si="4"/>
        <v>2.50598502933114E-07-2.31846662369521E-07i</v>
      </c>
      <c r="N10" t="str">
        <f t="shared" ca="1" si="5"/>
        <v>0.000553559506157144+0.000598331596019605i</v>
      </c>
      <c r="O10" t="str">
        <f t="shared" si="6"/>
        <v>9.84435650921221E-06+0.000122310118817738i</v>
      </c>
      <c r="P10" t="str">
        <f ca="1">IMSUM(IMPRODUCT(analytical!$D$5,numerical!N10),IMPRODUCT(1-analytical!$D$5,numerical!O10))</f>
        <v>0.000520936597178268+0.000569770307387493i</v>
      </c>
      <c r="Q10" t="str">
        <f t="shared" ca="1" si="7"/>
        <v>874.035421269536-955.969370057297i</v>
      </c>
      <c r="R10">
        <f t="shared" ca="1" si="8"/>
        <v>874.03542126953596</v>
      </c>
      <c r="S10">
        <f t="shared" ca="1" si="9"/>
        <v>-955.96937005729706</v>
      </c>
    </row>
    <row r="11" spans="1:19" x14ac:dyDescent="0.15">
      <c r="A11">
        <f t="shared" si="10"/>
        <v>390</v>
      </c>
      <c r="B11">
        <f t="shared" si="0"/>
        <v>2450.4422698000385</v>
      </c>
      <c r="C11" s="5">
        <f>data!O11</f>
        <v>-19.131</v>
      </c>
      <c r="D11" s="5">
        <f>data!B11</f>
        <v>-20.138000000000002</v>
      </c>
      <c r="E11" s="5">
        <f>data!G11</f>
        <v>5.6638000000000001E-8</v>
      </c>
      <c r="F11" s="5">
        <f>data!J11</f>
        <v>-7.0572999999999996E-9</v>
      </c>
      <c r="G11" t="str">
        <f t="shared" si="1"/>
        <v>-19.131-20.138i</v>
      </c>
      <c r="H11" t="str">
        <f t="shared" si="2"/>
        <v>0.000000056638-0.0000000070573i</v>
      </c>
      <c r="I11" t="str">
        <f t="shared" ca="1" si="11"/>
        <v>1.5935630306985-14.4288691194428i</v>
      </c>
      <c r="J11" t="str">
        <f ca="1">IMSUB(analytical!$D$5*analytical!$I$10,I11)</f>
        <v>-0.4608630306985+14.4288691194428i</v>
      </c>
      <c r="K11" t="str">
        <f ca="1">IMPRODUCT(analytical!$D$5/numerical!B11^2,IMDIV(numerical!G11,numerical!I11))</f>
        <v>1.93205506731019E-07-2.28898430277092E-07i</v>
      </c>
      <c r="L11" t="str">
        <f t="shared" ca="1" si="3"/>
        <v>-5.73333188661039E-08+2.63329314875963E-09i</v>
      </c>
      <c r="M11" t="str">
        <f t="shared" ca="1" si="4"/>
        <v>2.50538825597123E-07-2.31531723425852E-07i</v>
      </c>
      <c r="N11" t="str">
        <f t="shared" ca="1" si="5"/>
        <v>0.00056735512188236+0.00061393092846925i</v>
      </c>
      <c r="O11" t="str">
        <f t="shared" si="6"/>
        <v>0.0000172935062306598+0.000138788149276935i</v>
      </c>
      <c r="P11" t="str">
        <f ca="1">IMSUM(IMPRODUCT(analytical!$D$5,numerical!N11),IMPRODUCT(1-analytical!$D$5,numerical!O11))</f>
        <v>0.000534351424943258+0.000585422361717711i</v>
      </c>
      <c r="Q11" t="str">
        <f t="shared" ca="1" si="7"/>
        <v>850.538409267386-931.829094191734i</v>
      </c>
      <c r="R11">
        <f t="shared" ca="1" si="8"/>
        <v>850.53840926738599</v>
      </c>
      <c r="S11">
        <f t="shared" ca="1" si="9"/>
        <v>-931.82909419173404</v>
      </c>
    </row>
    <row r="12" spans="1:19" x14ac:dyDescent="0.15">
      <c r="A12">
        <f t="shared" si="10"/>
        <v>400</v>
      </c>
      <c r="B12">
        <f t="shared" si="0"/>
        <v>2513.2741228718346</v>
      </c>
      <c r="C12" s="5">
        <f>data!O12</f>
        <v>-19.413</v>
      </c>
      <c r="D12" s="5">
        <f>data!B12</f>
        <v>-20.132000000000001</v>
      </c>
      <c r="E12" s="5">
        <f>data!G12</f>
        <v>6.3243000000000006E-8</v>
      </c>
      <c r="F12" s="5">
        <f>data!J12</f>
        <v>-1.1314E-8</v>
      </c>
      <c r="G12" t="str">
        <f t="shared" si="1"/>
        <v>-19.413-20.132i</v>
      </c>
      <c r="H12" t="str">
        <f t="shared" si="2"/>
        <v>0.000000063243-0.000000011314i</v>
      </c>
      <c r="I12" t="str">
        <f t="shared" ca="1" si="11"/>
        <v>1.593555471049-14.0684180761876i</v>
      </c>
      <c r="J12" t="str">
        <f ca="1">IMSUB(analytical!$D$5*analytical!$I$10,I12)</f>
        <v>-0.460855471049+14.0684180761876i</v>
      </c>
      <c r="K12" t="str">
        <f ca="1">IMPRODUCT(analytical!$D$5/numerical!B12^2,IMDIV(numerical!G12,numerical!I12))</f>
        <v>1.87292483742293E-07-2.26565348189928E-07i</v>
      </c>
      <c r="L12" t="str">
        <f t="shared" ca="1" si="3"/>
        <v>-6.43195785380783E-08+6.25734056569421E-09i</v>
      </c>
      <c r="M12" t="str">
        <f t="shared" ca="1" si="4"/>
        <v>2.51612062280371E-07-2.32822688755622E-07i</v>
      </c>
      <c r="N12" t="str">
        <f t="shared" ca="1" si="5"/>
        <v>0.000585147238866947+0.000632370085131672i</v>
      </c>
      <c r="O12" t="str">
        <f t="shared" si="6"/>
        <v>0.0000284351834261719+0.000158946995352783i</v>
      </c>
      <c r="P12" t="str">
        <f ca="1">IMSUM(IMPRODUCT(analytical!$D$5,numerical!N12),IMPRODUCT(1-analytical!$D$5,numerical!O12))</f>
        <v>0.0005517445155405+0.000603964699744939i</v>
      </c>
      <c r="Q12" t="str">
        <f t="shared" ca="1" si="7"/>
        <v>824.489440792432-902.523728873426i</v>
      </c>
      <c r="R12">
        <f t="shared" ca="1" si="8"/>
        <v>824.48944079243199</v>
      </c>
      <c r="S12">
        <f t="shared" ca="1" si="9"/>
        <v>-902.52372887342597</v>
      </c>
    </row>
    <row r="13" spans="1:19" x14ac:dyDescent="0.15">
      <c r="A13">
        <f t="shared" si="10"/>
        <v>410</v>
      </c>
      <c r="B13">
        <f t="shared" si="0"/>
        <v>2576.1059759436303</v>
      </c>
      <c r="C13" s="5">
        <f>data!O13</f>
        <v>-19.747</v>
      </c>
      <c r="D13" s="5">
        <f>data!B13</f>
        <v>-20.071999999999999</v>
      </c>
      <c r="E13" s="5">
        <f>data!G13</f>
        <v>7.1333999999999995E-8</v>
      </c>
      <c r="F13" s="5">
        <f>data!J13</f>
        <v>-1.7754000000000001E-8</v>
      </c>
      <c r="G13" t="str">
        <f t="shared" si="1"/>
        <v>-19.747-20.072i</v>
      </c>
      <c r="H13" t="str">
        <f t="shared" si="2"/>
        <v>0.000000071334-0.000000017754i</v>
      </c>
      <c r="I13" t="str">
        <f t="shared" ca="1" si="11"/>
        <v>1.59354772107252-13.7255566699299i</v>
      </c>
      <c r="J13" t="str">
        <f ca="1">IMSUB(analytical!$D$5*analytical!$I$10,I13)</f>
        <v>-0.46084772107252+13.7255566699299i</v>
      </c>
      <c r="K13" t="str">
        <f ca="1">IMPRODUCT(analytical!$D$5/numerical!B13^2,IMDIV(numerical!G13,numerical!I13))</f>
        <v>1.8103877052101E-07-2.24803435319529E-07i</v>
      </c>
      <c r="L13" t="str">
        <f t="shared" ca="1" si="3"/>
        <v>-7.29949299320784E-08+1.19229369727874E-08i</v>
      </c>
      <c r="M13" t="str">
        <f t="shared" ca="1" si="4"/>
        <v>2.54033700453088E-07-2.36726372292316E-07i</v>
      </c>
      <c r="N13" t="str">
        <f t="shared" ca="1" si="5"/>
        <v>0.000609832222325692+0.000654417733828274i</v>
      </c>
      <c r="O13" t="str">
        <f t="shared" si="6"/>
        <v>0.0000457361854969032+0.000183763943687963i</v>
      </c>
      <c r="P13" t="str">
        <f ca="1">IMSUM(IMPRODUCT(analytical!$D$5,numerical!N13),IMPRODUCT(1-analytical!$D$5,numerical!O13))</f>
        <v>0.000575986460115964+0.000626178506419855i</v>
      </c>
      <c r="Q13" t="str">
        <f t="shared" ca="1" si="7"/>
        <v>795.715359986229-865.054806238326i</v>
      </c>
      <c r="R13">
        <f t="shared" ca="1" si="8"/>
        <v>795.71535998622903</v>
      </c>
      <c r="S13">
        <f t="shared" ca="1" si="9"/>
        <v>-865.05480623832602</v>
      </c>
    </row>
    <row r="14" spans="1:19" x14ac:dyDescent="0.15">
      <c r="A14">
        <f t="shared" si="10"/>
        <v>420</v>
      </c>
      <c r="B14">
        <f t="shared" si="0"/>
        <v>2638.9378290154264</v>
      </c>
      <c r="C14" s="5">
        <f>data!O14</f>
        <v>-20.170999999999999</v>
      </c>
      <c r="D14" s="5">
        <f>data!B14</f>
        <v>-19.946000000000002</v>
      </c>
      <c r="E14" s="5">
        <f>data!G14</f>
        <v>8.1086000000000002E-8</v>
      </c>
      <c r="F14" s="5">
        <f>data!J14</f>
        <v>-2.7952000000000001E-8</v>
      </c>
      <c r="G14" t="str">
        <f t="shared" si="1"/>
        <v>-20.171-19.946i</v>
      </c>
      <c r="H14" t="str">
        <f t="shared" si="2"/>
        <v>0.000000081086-0.000000027952i</v>
      </c>
      <c r="I14" t="str">
        <f t="shared" ca="1" si="11"/>
        <v>1.593539780848-13.3990284961038i</v>
      </c>
      <c r="J14" t="str">
        <f ca="1">IMSUB(analytical!$D$5*analytical!$I$10,I14)</f>
        <v>-0.460839780848+13.3990284961038i</v>
      </c>
      <c r="K14" t="str">
        <f ca="1">IMPRODUCT(analytical!$D$5/numerical!B14^2,IMDIV(numerical!G14,numerical!I14))</f>
        <v>1.7430152476354E-07-2.23929570592867E-07i</v>
      </c>
      <c r="L14" t="str">
        <f t="shared" ca="1" si="3"/>
        <v>-8.36816360274627E-08+2.11865886204884E-08i</v>
      </c>
      <c r="M14" t="str">
        <f t="shared" ca="1" si="4"/>
        <v>2.57983160791003E-07-2.45116159213355E-07i</v>
      </c>
      <c r="N14" t="str">
        <f t="shared" ca="1" si="5"/>
        <v>0.000646846305051092+0.000680801522260348i</v>
      </c>
      <c r="O14" t="str">
        <f t="shared" si="6"/>
        <v>0.0000737635901966393+0.000213980912803545i</v>
      </c>
      <c r="P14" t="str">
        <f ca="1">IMSUM(IMPRODUCT(analytical!$D$5,numerical!N14),IMPRODUCT(1-analytical!$D$5,numerical!O14))</f>
        <v>0.000612461342159824+0.00065279228569294i</v>
      </c>
      <c r="Q14" t="str">
        <f t="shared" ca="1" si="7"/>
        <v>764.385512918575-814.720753425895i</v>
      </c>
      <c r="R14">
        <f t="shared" ca="1" si="8"/>
        <v>764.38551291857505</v>
      </c>
      <c r="S14">
        <f t="shared" ca="1" si="9"/>
        <v>-814.72075342589505</v>
      </c>
    </row>
    <row r="15" spans="1:19" x14ac:dyDescent="0.15">
      <c r="A15">
        <f t="shared" si="10"/>
        <v>430</v>
      </c>
      <c r="B15">
        <f t="shared" si="0"/>
        <v>2701.769682087222</v>
      </c>
      <c r="C15" s="5">
        <f>data!O15</f>
        <v>-20.765999999999998</v>
      </c>
      <c r="D15" s="5">
        <f>data!B15</f>
        <v>-19.753</v>
      </c>
      <c r="E15" s="5">
        <f>data!G15</f>
        <v>9.1956000000000006E-8</v>
      </c>
      <c r="F15" s="5">
        <f>data!J15</f>
        <v>-4.4832000000000001E-8</v>
      </c>
      <c r="G15" t="str">
        <f t="shared" si="1"/>
        <v>-20.766-19.753i</v>
      </c>
      <c r="H15" t="str">
        <f t="shared" si="2"/>
        <v>0.000000091956-0.000000044832i</v>
      </c>
      <c r="I15" t="str">
        <f t="shared" ca="1" si="11"/>
        <v>1.59353165045629-13.0876940249412i</v>
      </c>
      <c r="J15" t="str">
        <f ca="1">IMSUB(analytical!$D$5*analytical!$I$10,I15)</f>
        <v>-0.46083165045629+13.0876940249412i</v>
      </c>
      <c r="K15" t="str">
        <f ca="1">IMPRODUCT(analytical!$D$5/numerical!B15^2,IMDIV(numerical!G15,numerical!I15))</f>
        <v>1.67003423781109E-07-2.24658730056542E-07i</v>
      </c>
      <c r="L15" t="str">
        <f t="shared" ca="1" si="3"/>
        <v>-9.61111488910894E-08+3.70197958879708E-08i</v>
      </c>
      <c r="M15" t="str">
        <f t="shared" ca="1" si="4"/>
        <v>2.63114572672198E-07-2.61678525944513E-07i</v>
      </c>
      <c r="N15" t="str">
        <f t="shared" ca="1" si="5"/>
        <v>0.000706995107850159+0.000710874975361079i</v>
      </c>
      <c r="O15" t="str">
        <f t="shared" si="6"/>
        <v>0.000121125738387334+0.000248443932886012i</v>
      </c>
      <c r="P15" t="str">
        <f ca="1">IMSUM(IMPRODUCT(analytical!$D$5,numerical!N15),IMPRODUCT(1-analytical!$D$5,numerical!O15))</f>
        <v>0.000671842945682389+0.000683129112812575i</v>
      </c>
      <c r="Q15" t="str">
        <f t="shared" ca="1" si="7"/>
        <v>731.824505440296-744.118291854881i</v>
      </c>
      <c r="R15">
        <f t="shared" ca="1" si="8"/>
        <v>731.82450544029598</v>
      </c>
      <c r="S15">
        <f t="shared" ca="1" si="9"/>
        <v>-744.11829185488102</v>
      </c>
    </row>
    <row r="16" spans="1:19" x14ac:dyDescent="0.15">
      <c r="A16">
        <f t="shared" si="10"/>
        <v>440</v>
      </c>
      <c r="B16">
        <f t="shared" si="0"/>
        <v>2764.6015351590181</v>
      </c>
      <c r="C16" s="5">
        <f>data!O16</f>
        <v>-21.68</v>
      </c>
      <c r="D16" s="5">
        <f>data!B16</f>
        <v>-19.556999999999999</v>
      </c>
      <c r="E16" s="5">
        <f>data!G16</f>
        <v>1.0052E-7</v>
      </c>
      <c r="F16" s="5">
        <f>data!J16</f>
        <v>-7.3369E-8</v>
      </c>
      <c r="G16" t="str">
        <f t="shared" si="1"/>
        <v>-21.68-19.557i</v>
      </c>
      <c r="H16" t="str">
        <f t="shared" si="2"/>
        <v>0.00000010052-0.000000073369i</v>
      </c>
      <c r="I16" t="str">
        <f t="shared" ca="1" si="11"/>
        <v>1.59352332998014-12.7905173202447i</v>
      </c>
      <c r="J16" t="str">
        <f ca="1">IMSUB(analytical!$D$5*analytical!$I$10,I16)</f>
        <v>-0.46082332998014+12.7905173202447i</v>
      </c>
      <c r="K16" t="str">
        <f ca="1">IMPRODUCT(analytical!$D$5/numerical!B16^2,IMDIV(numerical!G16,numerical!I16))</f>
        <v>1.59602299796559E-07-2.28349636450228E-07i</v>
      </c>
      <c r="L16" t="str">
        <f t="shared" ca="1" si="3"/>
        <v>-1.07329277676637E-07+6.47124986862462E-08i</v>
      </c>
      <c r="M16" t="str">
        <f t="shared" ca="1" si="4"/>
        <v>2.66931577473196E-07-2.93062135136474E-07i</v>
      </c>
      <c r="N16" t="str">
        <f t="shared" ca="1" si="5"/>
        <v>0.000810200028695276+0.000737959448864816i</v>
      </c>
      <c r="O16" t="str">
        <f t="shared" si="6"/>
        <v>0.000202836050033082+0.000277897746314185i</v>
      </c>
      <c r="P16" t="str">
        <f ca="1">IMSUM(IMPRODUCT(analytical!$D$5,numerical!N16),IMPRODUCT(1-analytical!$D$5,numerical!O16))</f>
        <v>0.000773758189975544+0.000710355746711778i</v>
      </c>
      <c r="Q16" t="str">
        <f t="shared" ca="1" si="7"/>
        <v>701.308134124415-643.842313716561i</v>
      </c>
      <c r="R16">
        <f t="shared" ca="1" si="8"/>
        <v>701.30813412441501</v>
      </c>
      <c r="S16">
        <f t="shared" ca="1" si="9"/>
        <v>-643.84231371656097</v>
      </c>
    </row>
    <row r="17" spans="1:19" x14ac:dyDescent="0.15">
      <c r="A17">
        <f t="shared" si="10"/>
        <v>450</v>
      </c>
      <c r="B17">
        <f t="shared" si="0"/>
        <v>2827.4333882308138</v>
      </c>
      <c r="C17" s="5">
        <f>data!O17</f>
        <v>-23.096</v>
      </c>
      <c r="D17" s="5">
        <f>data!B17</f>
        <v>-19.654</v>
      </c>
      <c r="E17" s="5">
        <f>data!G17</f>
        <v>9.4575999999999999E-8</v>
      </c>
      <c r="F17" s="5">
        <f>data!J17</f>
        <v>-1.1804E-7</v>
      </c>
      <c r="G17" t="str">
        <f t="shared" si="1"/>
        <v>-23.096-19.654i</v>
      </c>
      <c r="H17" t="str">
        <f t="shared" si="2"/>
        <v>0.000000094576-0.00000011804i</v>
      </c>
      <c r="I17" t="str">
        <f t="shared" ca="1" si="11"/>
        <v>1.5935148195042-12.5065545289912i</v>
      </c>
      <c r="J17" t="str">
        <f ca="1">IMSUB(analytical!$D$5*analytical!$I$10,I17)</f>
        <v>-0.4608148195042+12.5065545289912i</v>
      </c>
      <c r="K17" t="str">
        <f ca="1">IMPRODUCT(analytical!$D$5/numerical!B17^2,IMDIV(numerical!G17,numerical!I17))</f>
        <v>1.54603784644209E-07-2.36839917307671E-07i</v>
      </c>
      <c r="L17" t="str">
        <f t="shared" ca="1" si="3"/>
        <v>-1.05567391938486E-07+1.09879380009004E-07i</v>
      </c>
      <c r="M17" t="str">
        <f t="shared" ca="1" si="4"/>
        <v>2.60171176582695E-07-3.46719297316675E-07i</v>
      </c>
      <c r="N17" t="str">
        <f t="shared" ca="1" si="5"/>
        <v>0.000980325717577092+0.000735616671325206i</v>
      </c>
      <c r="O17" t="str">
        <f t="shared" si="6"/>
        <v>0.000333750237146765+0.000267407340125317i</v>
      </c>
      <c r="P17" t="str">
        <f ca="1">IMSUM(IMPRODUCT(analytical!$D$5,numerical!N17),IMPRODUCT(1-analytical!$D$5,numerical!O17))</f>
        <v>0.000941531188751272+0.000707524111453213i</v>
      </c>
      <c r="Q17" t="str">
        <f t="shared" ca="1" si="7"/>
        <v>678.790741605842-510.084872445169i</v>
      </c>
      <c r="R17">
        <f t="shared" ca="1" si="8"/>
        <v>678.79074160584196</v>
      </c>
      <c r="S17">
        <f t="shared" ca="1" si="9"/>
        <v>-510.08487244516903</v>
      </c>
    </row>
    <row r="18" spans="1:19" x14ac:dyDescent="0.15">
      <c r="A18">
        <f t="shared" si="10"/>
        <v>460</v>
      </c>
      <c r="B18">
        <f t="shared" si="0"/>
        <v>2890.2652413026099</v>
      </c>
      <c r="C18" s="5">
        <f>data!O18</f>
        <v>-24.760999999999999</v>
      </c>
      <c r="D18" s="5">
        <f>data!B18</f>
        <v>-20.734000000000002</v>
      </c>
      <c r="E18" s="5">
        <f>data!G18</f>
        <v>5.0822999999999998E-8</v>
      </c>
      <c r="F18" s="5">
        <f>data!J18</f>
        <v>-1.6446999999999999E-7</v>
      </c>
      <c r="G18" t="str">
        <f t="shared" si="1"/>
        <v>-24.761-20.734i</v>
      </c>
      <c r="H18" t="str">
        <f t="shared" si="2"/>
        <v>0.000000050823-0.00000016447i</v>
      </c>
      <c r="I18" t="str">
        <f t="shared" ca="1" si="11"/>
        <v>1.59350611911503-12.2349438722912i</v>
      </c>
      <c r="J18" t="str">
        <f ca="1">IMSUB(analytical!$D$5*analytical!$I$10,I18)</f>
        <v>-0.46080611911503+12.2349438722912i</v>
      </c>
      <c r="K18" t="str">
        <f ca="1">IMPRODUCT(analytical!$D$5/numerical!B18^2,IMDIV(numerical!G18,numerical!I18))</f>
        <v>1.58346493515942E-07-2.48352561376654E-07i</v>
      </c>
      <c r="L18" t="str">
        <f t="shared" ca="1" si="3"/>
        <v>-6.62048744973883E-08+1.60344182118443E-07i</v>
      </c>
      <c r="M18" t="str">
        <f t="shared" ca="1" si="4"/>
        <v>2.2455136801333E-07-4.08696743495097E-07i</v>
      </c>
      <c r="N18" t="str">
        <f t="shared" ca="1" si="5"/>
        <v>0.00118124199195745+0.000649013013855878i</v>
      </c>
      <c r="O18" t="str">
        <f t="shared" si="6"/>
        <v>0.00047536192423704+0.000146891950358723i</v>
      </c>
      <c r="P18" t="str">
        <f ca="1">IMSUM(IMPRODUCT(analytical!$D$5,numerical!N18),IMPRODUCT(1-analytical!$D$5,numerical!O18))</f>
        <v>0.00113888918789422+0.000618885750046048i</v>
      </c>
      <c r="Q18" t="str">
        <f t="shared" ca="1" si="7"/>
        <v>677.874661065905-368.365045967886i</v>
      </c>
      <c r="R18">
        <f t="shared" ca="1" si="8"/>
        <v>677.874661065905</v>
      </c>
      <c r="S18">
        <f t="shared" ca="1" si="9"/>
        <v>-368.36504596788598</v>
      </c>
    </row>
    <row r="19" spans="1:19" x14ac:dyDescent="0.15">
      <c r="A19">
        <f t="shared" si="10"/>
        <v>470</v>
      </c>
      <c r="B19">
        <f t="shared" si="0"/>
        <v>2953.0970943744055</v>
      </c>
      <c r="C19" s="5">
        <f>data!O19</f>
        <v>-25.41</v>
      </c>
      <c r="D19" s="5">
        <f>data!B19</f>
        <v>-22.803000000000001</v>
      </c>
      <c r="E19" s="5">
        <f>data!G19</f>
        <v>-2.1600000000000002E-8</v>
      </c>
      <c r="F19" s="5">
        <f>data!J19</f>
        <v>-1.6644E-7</v>
      </c>
      <c r="G19" t="str">
        <f t="shared" si="1"/>
        <v>-25.41-22.803i</v>
      </c>
      <c r="H19" t="str">
        <f t="shared" si="2"/>
        <v>-0.0000000216-0.00000016644i</v>
      </c>
      <c r="I19" t="str">
        <f t="shared" ca="1" si="11"/>
        <v>1.5934972289011-11.9748969140973i</v>
      </c>
      <c r="J19" t="str">
        <f ca="1">IMSUB(analytical!$D$5*analytical!$I$10,I19)</f>
        <v>-0.4607972289011+11.9748969140973i</v>
      </c>
      <c r="K19" t="str">
        <f ca="1">IMPRODUCT(analytical!$D$5/numerical!B19^2,IMDIV(numerical!G19,numerical!I19))</f>
        <v>1.7177690249519E-07-2.51578919874369E-07i</v>
      </c>
      <c r="L19" t="str">
        <f t="shared" ca="1" si="3"/>
        <v>5.95829832872079E-09+1.69085030935351E-07i</v>
      </c>
      <c r="M19" t="str">
        <f t="shared" ca="1" si="4"/>
        <v>1.65818604166469E-07-4.2066395080972E-07i</v>
      </c>
      <c r="N19" t="str">
        <f t="shared" ca="1" si="5"/>
        <v>0.00124226149084424+0.00048967843815722i</v>
      </c>
      <c r="O19" t="str">
        <f t="shared" si="6"/>
        <v>0.000491513480387677-0.0000637868972384873i</v>
      </c>
      <c r="P19" t="str">
        <f ca="1">IMSUM(IMPRODUCT(analytical!$D$5,numerical!N19),IMPRODUCT(1-analytical!$D$5,numerical!O19))</f>
        <v>0.00119721661021685+0.000456470518033478i</v>
      </c>
      <c r="Q19" t="str">
        <f t="shared" ca="1" si="7"/>
        <v>729.257327575289-278.048656573272i</v>
      </c>
      <c r="R19">
        <f t="shared" ca="1" si="8"/>
        <v>729.25732757528897</v>
      </c>
      <c r="S19">
        <f t="shared" ca="1" si="9"/>
        <v>-278.04865657327201</v>
      </c>
    </row>
    <row r="20" spans="1:19" x14ac:dyDescent="0.15">
      <c r="A20">
        <f t="shared" si="10"/>
        <v>480</v>
      </c>
      <c r="B20">
        <f t="shared" si="0"/>
        <v>3015.9289474462012</v>
      </c>
      <c r="C20" s="5">
        <f>data!O20</f>
        <v>-24.774000000000001</v>
      </c>
      <c r="D20" s="5">
        <f>data!B20</f>
        <v>-24.378</v>
      </c>
      <c r="E20" s="5">
        <f>data!G20</f>
        <v>-6.6488000000000006E-8</v>
      </c>
      <c r="F20" s="5">
        <f>data!J20</f>
        <v>-1.2508000000000001E-7</v>
      </c>
      <c r="G20" t="str">
        <f t="shared" si="1"/>
        <v>-24.774-24.378i</v>
      </c>
      <c r="H20" t="str">
        <f t="shared" si="2"/>
        <v>-0.000000066488-0.00000012508i</v>
      </c>
      <c r="I20" t="str">
        <f t="shared" ca="1" si="11"/>
        <v>1.59348814895275-11.7256909213264i</v>
      </c>
      <c r="J20" t="str">
        <f ca="1">IMSUB(analytical!$D$5*analytical!$I$10,I20)</f>
        <v>-0.46078814895275+11.7256909213264i</v>
      </c>
      <c r="K20" t="str">
        <f ca="1">IMPRODUCT(analytical!$D$5/numerical!B20^2,IMDIV(numerical!G20,numerical!I20))</f>
        <v>1.8182449098993E-07-2.43054473890166E-07i</v>
      </c>
      <c r="L20" t="str">
        <f t="shared" ca="1" si="3"/>
        <v>5.46759277945113E-08+1.31966913618028E-07i</v>
      </c>
      <c r="M20" t="str">
        <f t="shared" ca="1" si="4"/>
        <v>1.27148563195419E-07-3.75021387508194E-07i</v>
      </c>
      <c r="N20" t="str">
        <f t="shared" ca="1" si="5"/>
        <v>0.0011310378584974+0.000383471032367257i</v>
      </c>
      <c r="O20" t="str">
        <f t="shared" si="6"/>
        <v>0.000377232392746571-0.000200523083857803i</v>
      </c>
      <c r="P20" t="str">
        <f ca="1">IMSUM(IMPRODUCT(analytical!$D$5,numerical!N20),IMPRODUCT(1-analytical!$D$5,numerical!O20))</f>
        <v>0.00108580953055235+0.000348431385393754i</v>
      </c>
      <c r="Q20" t="str">
        <f t="shared" ca="1" si="7"/>
        <v>834.989680097974-267.944425647126i</v>
      </c>
      <c r="R20">
        <f t="shared" ca="1" si="8"/>
        <v>834.98968009797397</v>
      </c>
      <c r="S20">
        <f t="shared" ca="1" si="9"/>
        <v>-267.94442564712602</v>
      </c>
    </row>
    <row r="21" spans="1:19" x14ac:dyDescent="0.15">
      <c r="A21">
        <f t="shared" si="10"/>
        <v>490</v>
      </c>
      <c r="B21">
        <f t="shared" si="0"/>
        <v>3078.7608005179973</v>
      </c>
      <c r="C21" s="5">
        <f>data!O21</f>
        <v>-23.957999999999998</v>
      </c>
      <c r="D21" s="5">
        <f>data!B21</f>
        <v>-25.027999999999999</v>
      </c>
      <c r="E21" s="5">
        <f>data!G21</f>
        <v>-7.6289000000000002E-8</v>
      </c>
      <c r="F21" s="5">
        <f>data!J21</f>
        <v>-8.3976999999999998E-8</v>
      </c>
      <c r="G21" t="str">
        <f t="shared" si="1"/>
        <v>-23.958-25.028i</v>
      </c>
      <c r="H21" t="str">
        <f t="shared" si="2"/>
        <v>-0.000000076289-0.000000083977i</v>
      </c>
      <c r="I21" t="str">
        <f t="shared" ca="1" si="11"/>
        <v>1.59347887936224-11.486662159474i</v>
      </c>
      <c r="J21" t="str">
        <f ca="1">IMSUB(analytical!$D$5*analytical!$I$10,I21)</f>
        <v>-0.46077887936224+11.486662159474i</v>
      </c>
      <c r="K21" t="str">
        <f ca="1">IMPRODUCT(analytical!$D$5/numerical!B21^2,IMDIV(numerical!G21,numerical!I21))</f>
        <v>1.83845255246699E-07-2.3234291403167E-07i</v>
      </c>
      <c r="L21" t="str">
        <f t="shared" ca="1" si="3"/>
        <v>6.8322619281703E-08+9.18194253302908E-08i</v>
      </c>
      <c r="M21" t="str">
        <f t="shared" ca="1" si="4"/>
        <v>1.15522635964996E-07-3.24162339361961E-07i</v>
      </c>
      <c r="N21" t="str">
        <f t="shared" ca="1" si="5"/>
        <v>0.000998018303431819+0.000355666563181541i</v>
      </c>
      <c r="O21" t="str">
        <f t="shared" si="6"/>
        <v>0.0002585450957451-0.000234875582710718i</v>
      </c>
      <c r="P21" t="str">
        <f ca="1">IMSUM(IMPRODUCT(analytical!$D$5,numerical!N21),IMPRODUCT(1-analytical!$D$5,numerical!O21))</f>
        <v>0.000953649910970616+0.000320234034428006i</v>
      </c>
      <c r="Q21" t="str">
        <f t="shared" ca="1" si="7"/>
        <v>942.343681375794-316.437421566548i</v>
      </c>
      <c r="R21">
        <f t="shared" ca="1" si="8"/>
        <v>942.34368137579395</v>
      </c>
      <c r="S21">
        <f t="shared" ca="1" si="9"/>
        <v>-316.43742156654798</v>
      </c>
    </row>
    <row r="22" spans="1:19" x14ac:dyDescent="0.15">
      <c r="A22">
        <f t="shared" si="10"/>
        <v>500</v>
      </c>
      <c r="B22">
        <f t="shared" si="0"/>
        <v>3141.5926535897929</v>
      </c>
      <c r="C22" s="5">
        <f>data!O22</f>
        <v>-23.422999999999998</v>
      </c>
      <c r="D22" s="5">
        <f>data!B22</f>
        <v>-25.227</v>
      </c>
      <c r="E22" s="5">
        <f>data!G22</f>
        <v>-7.1707999999999996E-8</v>
      </c>
      <c r="F22" s="5">
        <f>data!J22</f>
        <v>-5.6468E-8</v>
      </c>
      <c r="G22" t="str">
        <f t="shared" si="1"/>
        <v>-23.423-25.227i</v>
      </c>
      <c r="H22" t="str">
        <f t="shared" si="2"/>
        <v>-0.000000071708-0.000000056468i</v>
      </c>
      <c r="I22" t="str">
        <f t="shared" ca="1" si="11"/>
        <v>1.59346942022371-11.2571999927576i</v>
      </c>
      <c r="J22" t="str">
        <f ca="1">IMSUB(analytical!$D$5*analytical!$I$10,I22)</f>
        <v>-0.46076942022371+11.2571999927576i</v>
      </c>
      <c r="K22" t="str">
        <f ca="1">IMPRODUCT(analytical!$D$5/numerical!B22^2,IMDIV(numerical!G22,numerical!I22))</f>
        <v>1.81741033508033E-07-2.2389671501827E-07i</v>
      </c>
      <c r="L22" t="str">
        <f t="shared" ca="1" si="3"/>
        <v>6.6330524845521E-08+6.39033682765736E-08i</v>
      </c>
      <c r="M22" t="str">
        <f t="shared" ca="1" si="4"/>
        <v>1.15410508662512E-07-2.87800083294844E-07i</v>
      </c>
      <c r="N22" t="str">
        <f t="shared" ca="1" si="5"/>
        <v>0.000904150627381612+0.000362572806161209i</v>
      </c>
      <c r="O22" t="str">
        <f t="shared" si="6"/>
        <v>0.000177399453962908-0.000225277326003617i</v>
      </c>
      <c r="P22" t="str">
        <f ca="1">IMSUM(IMPRODUCT(analytical!$D$5,numerical!N22),IMPRODUCT(1-analytical!$D$5,numerical!O22))</f>
        <v>0.00086054555697649+0.000327301798231319i</v>
      </c>
      <c r="Q22" t="str">
        <f t="shared" ca="1" si="7"/>
        <v>1015.19519191395-386.121582030667i</v>
      </c>
      <c r="R22">
        <f t="shared" ca="1" si="8"/>
        <v>1015.19519191395</v>
      </c>
      <c r="S22">
        <f t="shared" ca="1" si="9"/>
        <v>-386.12158203066701</v>
      </c>
    </row>
    <row r="23" spans="1:19" x14ac:dyDescent="0.15">
      <c r="A23">
        <f t="shared" si="10"/>
        <v>510</v>
      </c>
      <c r="B23">
        <f t="shared" si="0"/>
        <v>3204.424506661589</v>
      </c>
      <c r="C23" s="5">
        <f>data!O23</f>
        <v>-23.140999999999998</v>
      </c>
      <c r="D23" s="5">
        <f>data!B23</f>
        <v>-25.283000000000001</v>
      </c>
      <c r="E23" s="5">
        <f>data!G23</f>
        <v>-6.3829999999999997E-8</v>
      </c>
      <c r="F23" s="5">
        <f>data!J23</f>
        <v>-3.9311E-8</v>
      </c>
      <c r="G23" t="str">
        <f t="shared" si="1"/>
        <v>-23.141-25.283i</v>
      </c>
      <c r="H23" t="str">
        <f t="shared" si="2"/>
        <v>-0.00000006383-0.000000039311i</v>
      </c>
      <c r="I23" t="str">
        <f t="shared" ca="1" si="11"/>
        <v>1.59345977163318-11.036741678359i</v>
      </c>
      <c r="J23" t="str">
        <f ca="1">IMSUB(analytical!$D$5*analytical!$I$10,I23)</f>
        <v>-0.46075977163318+11.036741678359i</v>
      </c>
      <c r="K23" t="str">
        <f ca="1">IMPRODUCT(analytical!$D$5/numerical!B23^2,IMDIV(numerical!G23,numerical!I23))</f>
        <v>1.78279918554291E-07-2.17681206114238E-07i</v>
      </c>
      <c r="L23" t="str">
        <f t="shared" ca="1" si="3"/>
        <v>6.00755428709252E-08+4.60186086372991E-08i</v>
      </c>
      <c r="M23" t="str">
        <f t="shared" ca="1" si="4"/>
        <v>1.18204375683366E-07-2.63699814751537E-07i</v>
      </c>
      <c r="N23" t="str">
        <f t="shared" ca="1" si="5"/>
        <v>0.000845006148791947+0.000378776998234411i</v>
      </c>
      <c r="O23" t="str">
        <f t="shared" si="6"/>
        <v>0.000125969131781374-0.000204538416260209i</v>
      </c>
      <c r="P23" t="str">
        <f ca="1">IMSUM(IMPRODUCT(analytical!$D$5,numerical!N23),IMPRODUCT(1-analytical!$D$5,numerical!O23))</f>
        <v>0.000801863927771312+0.000343778073364733i</v>
      </c>
      <c r="Q23" t="str">
        <f t="shared" ca="1" si="7"/>
        <v>1053.46355256304-451.644796476458i</v>
      </c>
      <c r="R23">
        <f t="shared" ca="1" si="8"/>
        <v>1053.4635525630399</v>
      </c>
      <c r="S23">
        <f t="shared" ca="1" si="9"/>
        <v>-451.644796476458</v>
      </c>
    </row>
    <row r="24" spans="1:19" x14ac:dyDescent="0.15">
      <c r="A24">
        <f t="shared" si="10"/>
        <v>520</v>
      </c>
      <c r="B24">
        <f t="shared" si="0"/>
        <v>3267.2563597333847</v>
      </c>
      <c r="C24" s="5">
        <f>data!O24</f>
        <v>-23.024999999999999</v>
      </c>
      <c r="D24" s="5">
        <f>data!B24</f>
        <v>-25.311</v>
      </c>
      <c r="E24" s="5">
        <f>data!G24</f>
        <v>-5.6151999999999999E-8</v>
      </c>
      <c r="F24" s="5">
        <f>data!J24</f>
        <v>-2.8403E-8</v>
      </c>
      <c r="G24" t="str">
        <f t="shared" si="1"/>
        <v>-23.025-25.311i</v>
      </c>
      <c r="H24" t="str">
        <f t="shared" si="2"/>
        <v>-0.000000056152-0.000000028403i</v>
      </c>
      <c r="I24" t="str">
        <f t="shared" ca="1" si="11"/>
        <v>1.59344993368855-10.8247677613321i</v>
      </c>
      <c r="J24" t="str">
        <f ca="1">IMSUB(analytical!$D$5*analytical!$I$10,I24)</f>
        <v>-0.46074993368855+10.8247677613321i</v>
      </c>
      <c r="K24" t="str">
        <f ca="1">IMPRODUCT(analytical!$D$5/numerical!B24^2,IMDIV(numerical!G24,numerical!I24))</f>
        <v>1.74544181573735E-07-2.12995643438234E-07i</v>
      </c>
      <c r="L24" t="str">
        <f t="shared" ca="1" si="3"/>
        <v>5.34349392223435E-08+3.43943762034514E-08i</v>
      </c>
      <c r="M24" t="str">
        <f t="shared" ca="1" si="4"/>
        <v>1.21109242351392E-07-2.47390019641685E-07i</v>
      </c>
      <c r="N24" t="str">
        <f t="shared" ca="1" si="5"/>
        <v>0.000808286615008861+0.000395694942295077i</v>
      </c>
      <c r="O24" t="str">
        <f t="shared" si="6"/>
        <v>0.0000927998823855072-0.000183462979111749i</v>
      </c>
      <c r="P24" t="str">
        <f ca="1">IMSUM(IMPRODUCT(analytical!$D$5,numerical!N24),IMPRODUCT(1-analytical!$D$5,numerical!O24))</f>
        <v>0.000765357411051459+0.000360945467010667i</v>
      </c>
      <c r="Q24" t="str">
        <f t="shared" ca="1" si="7"/>
        <v>1068.85492156506-504.076047687229i</v>
      </c>
      <c r="R24">
        <f t="shared" ca="1" si="8"/>
        <v>1068.8549215650601</v>
      </c>
      <c r="S24">
        <f t="shared" ca="1" si="9"/>
        <v>-504.07604768722899</v>
      </c>
    </row>
    <row r="25" spans="1:19" x14ac:dyDescent="0.15">
      <c r="A25">
        <f t="shared" si="10"/>
        <v>530</v>
      </c>
      <c r="B25">
        <f t="shared" si="0"/>
        <v>3330.0882128051808</v>
      </c>
      <c r="C25" s="5">
        <f>data!O25</f>
        <v>-23.010999999999999</v>
      </c>
      <c r="D25" s="5">
        <f>data!B25</f>
        <v>-25.344000000000001</v>
      </c>
      <c r="E25" s="5">
        <f>data!G25</f>
        <v>-4.9491999999999997E-8</v>
      </c>
      <c r="F25" s="5">
        <f>data!J25</f>
        <v>-2.1185000000000001E-8</v>
      </c>
      <c r="G25" t="str">
        <f t="shared" si="1"/>
        <v>-23.011-25.344i</v>
      </c>
      <c r="H25" t="str">
        <f t="shared" si="2"/>
        <v>-0.000000049492-0.000000021185i</v>
      </c>
      <c r="I25" t="str">
        <f t="shared" ca="1" si="11"/>
        <v>1.59343990648964-10.6207979908409i</v>
      </c>
      <c r="J25" t="str">
        <f ca="1">IMSUB(analytical!$D$5*analytical!$I$10,I25)</f>
        <v>-0.46073990648964+10.6207979908409i</v>
      </c>
      <c r="K25" t="str">
        <f ca="1">IMPRODUCT(analytical!$D$5/numerical!B25^2,IMDIV(numerical!G25,numerical!I25))</f>
        <v>1.70871916408208E-07-2.09287541298454E-07i</v>
      </c>
      <c r="L25" t="str">
        <f t="shared" ca="1" si="3"/>
        <v>4.74654265107655E-08+2.6551198634893E-08i</v>
      </c>
      <c r="M25" t="str">
        <f t="shared" ca="1" si="4"/>
        <v>1.23406489897443E-07-2.35838739933347E-07i</v>
      </c>
      <c r="N25" t="str">
        <f t="shared" ca="1" si="5"/>
        <v>0.000785363807974865+0.000410954497391136i</v>
      </c>
      <c r="O25" t="str">
        <f t="shared" si="6"/>
        <v>0.0000705479187882777-0.000164812725828154i</v>
      </c>
      <c r="P25" t="str">
        <f ca="1">IMSUM(IMPRODUCT(analytical!$D$5,numerical!N25),IMPRODUCT(1-analytical!$D$5,numerical!O25))</f>
        <v>0.00074247485462367+0.000376408463997979i</v>
      </c>
      <c r="Q25" t="str">
        <f t="shared" ca="1" si="7"/>
        <v>1071.46612730113-543.195391320966i</v>
      </c>
      <c r="R25">
        <f t="shared" ca="1" si="8"/>
        <v>1071.46612730113</v>
      </c>
      <c r="S25">
        <f t="shared" ca="1" si="9"/>
        <v>-543.195391320966</v>
      </c>
    </row>
    <row r="26" spans="1:19" x14ac:dyDescent="0.15">
      <c r="A26">
        <f t="shared" si="10"/>
        <v>540</v>
      </c>
      <c r="B26">
        <f t="shared" si="0"/>
        <v>3392.9200658769764</v>
      </c>
      <c r="C26" s="5">
        <f>data!O26</f>
        <v>-23.06</v>
      </c>
      <c r="D26" s="5">
        <f>data!B26</f>
        <v>-25.393000000000001</v>
      </c>
      <c r="E26" s="5">
        <f>data!G26</f>
        <v>-4.3895999999999998E-8</v>
      </c>
      <c r="F26" s="5">
        <f>data!J26</f>
        <v>-1.6209E-8</v>
      </c>
      <c r="G26" t="str">
        <f t="shared" si="1"/>
        <v>-23.06-25.393i</v>
      </c>
      <c r="H26" t="str">
        <f t="shared" si="2"/>
        <v>-0.000000043896-0.000000016209i</v>
      </c>
      <c r="I26" t="str">
        <f t="shared" ca="1" si="11"/>
        <v>1.5934296901381-10.4243876901501i</v>
      </c>
      <c r="J26" t="str">
        <f ca="1">IMSUB(analytical!$D$5*analytical!$I$10,I26)</f>
        <v>-0.4607296901381+10.4243876901501i</v>
      </c>
      <c r="K26" t="str">
        <f ca="1">IMPRODUCT(analytical!$D$5/numerical!B26^2,IMDIV(numerical!G26,numerical!I26))</f>
        <v>1.67383015849538E-07-2.06215266891061E-07i</v>
      </c>
      <c r="L26" t="str">
        <f t="shared" ca="1" si="3"/>
        <v>4.23485814610565E-08+2.10470722554684E-08i</v>
      </c>
      <c r="M26" t="str">
        <f t="shared" ca="1" si="4"/>
        <v>1.25034434388482E-07-2.27262339146529E-07i</v>
      </c>
      <c r="N26" t="str">
        <f t="shared" ca="1" si="5"/>
        <v>0.000771082950708398+0.000424231841362259i</v>
      </c>
      <c r="O26" t="str">
        <f t="shared" si="6"/>
        <v>0.0000549958413478-0.000148935619211736i</v>
      </c>
      <c r="P26" t="str">
        <f ca="1">IMSUM(IMPRODUCT(analytical!$D$5,numerical!N26),IMPRODUCT(1-analytical!$D$5,numerical!O26))</f>
        <v>0.000728117724146762+0.000389841793727819i</v>
      </c>
      <c r="Q26" t="str">
        <f t="shared" ca="1" si="7"/>
        <v>1067.4146306039-571.504882309479i</v>
      </c>
      <c r="R26">
        <f t="shared" ca="1" si="8"/>
        <v>1067.4146306038999</v>
      </c>
      <c r="S26">
        <f t="shared" ca="1" si="9"/>
        <v>-571.50488230947894</v>
      </c>
    </row>
    <row r="27" spans="1:19" x14ac:dyDescent="0.15">
      <c r="A27">
        <f t="shared" si="10"/>
        <v>550</v>
      </c>
      <c r="B27">
        <f t="shared" si="0"/>
        <v>3455.7519189487725</v>
      </c>
      <c r="C27" s="5">
        <f>data!O27</f>
        <v>-23.151</v>
      </c>
      <c r="D27" s="5">
        <f>data!B27</f>
        <v>-25.457000000000001</v>
      </c>
      <c r="E27" s="5">
        <f>data!G27</f>
        <v>-3.9215999999999999E-8</v>
      </c>
      <c r="F27" s="5">
        <f>data!J27</f>
        <v>-1.2650000000000001E-8</v>
      </c>
      <c r="G27" t="str">
        <f t="shared" si="1"/>
        <v>-23.151-25.457i</v>
      </c>
      <c r="H27" t="str">
        <f t="shared" si="2"/>
        <v>-0.000000039216-0.00000001265i</v>
      </c>
      <c r="I27" t="str">
        <f t="shared" ca="1" si="11"/>
        <v>1.59341928473747-10.2351245226152i</v>
      </c>
      <c r="J27" t="str">
        <f ca="1">IMSUB(analytical!$D$5*analytical!$I$10,I27)</f>
        <v>-0.46071928473747+10.2351245226152i</v>
      </c>
      <c r="K27" t="str">
        <f ca="1">IMPRODUCT(analytical!$D$5/numerical!B27^2,IMDIV(numerical!G27,numerical!I27))</f>
        <v>1.6408040404211E-07-2.03585007640887E-07i</v>
      </c>
      <c r="L27" t="str">
        <f t="shared" ca="1" si="3"/>
        <v>3.8013843279875E-08+1.70440667145637E-08i</v>
      </c>
      <c r="M27" t="str">
        <f t="shared" ca="1" si="4"/>
        <v>1.26066560762235E-07-2.20629074355451E-07i</v>
      </c>
      <c r="N27" t="str">
        <f t="shared" ca="1" si="5"/>
        <v>0.000762439347079741+0.000435654759269365i</v>
      </c>
      <c r="O27" t="str">
        <f t="shared" si="6"/>
        <v>0.0000437152617747019-0.000135520767253495i</v>
      </c>
      <c r="P27" t="str">
        <f ca="1">IMSUM(IMPRODUCT(analytical!$D$5,numerical!N27),IMPRODUCT(1-analytical!$D$5,numerical!O27))</f>
        <v>0.000719315901961439+0.000401384227677993i</v>
      </c>
      <c r="Q27" t="str">
        <f t="shared" ca="1" si="7"/>
        <v>1060.11754475511-591.554365459071i</v>
      </c>
      <c r="R27">
        <f t="shared" ca="1" si="8"/>
        <v>1060.11754475511</v>
      </c>
      <c r="S27">
        <f t="shared" ca="1" si="9"/>
        <v>-591.55436545907105</v>
      </c>
    </row>
    <row r="28" spans="1:19" x14ac:dyDescent="0.15">
      <c r="A28">
        <f t="shared" si="10"/>
        <v>560</v>
      </c>
      <c r="B28">
        <f t="shared" si="0"/>
        <v>3518.5837720205682</v>
      </c>
      <c r="C28" s="5">
        <f>data!O28</f>
        <v>-23.27</v>
      </c>
      <c r="D28" s="5">
        <f>data!B28</f>
        <v>-25.536000000000001</v>
      </c>
      <c r="E28" s="5">
        <f>data!G28</f>
        <v>-3.5284E-8</v>
      </c>
      <c r="F28" s="5">
        <f>data!J28</f>
        <v>-1.0023E-8</v>
      </c>
      <c r="G28" t="str">
        <f t="shared" si="1"/>
        <v>-23.27-25.536i</v>
      </c>
      <c r="H28" t="str">
        <f t="shared" si="2"/>
        <v>-0.000000035284-0.000000010023i</v>
      </c>
      <c r="I28" t="str">
        <f t="shared" ca="1" si="11"/>
        <v>1.59340869039316-10.0526256041752i</v>
      </c>
      <c r="J28" t="str">
        <f ca="1">IMSUB(analytical!$D$5*analytical!$I$10,I28)</f>
        <v>-0.46070869039316+10.0526256041752i</v>
      </c>
      <c r="K28" t="str">
        <f ca="1">IMPRODUCT(analytical!$D$5/numerical!B28^2,IMDIV(numerical!G28,numerical!I28))</f>
        <v>1.60967688728011E-07-2.01269965484449E-07i</v>
      </c>
      <c r="L28" t="str">
        <f t="shared" ca="1" si="3"/>
        <v>3.43388282472034E-08+1.40420132639225E-08i</v>
      </c>
      <c r="M28" t="str">
        <f t="shared" ca="1" si="4"/>
        <v>1.26628860480808E-07-2.15311978748371E-07i</v>
      </c>
      <c r="N28" t="str">
        <f t="shared" ca="1" si="5"/>
        <v>0.000757593234345656+0.000445554253557228i</v>
      </c>
      <c r="O28" t="str">
        <f t="shared" si="6"/>
        <v>0.0000352667651469622-0.000124149709811974i</v>
      </c>
      <c r="P28" t="str">
        <f ca="1">IMSUM(IMPRODUCT(analytical!$D$5,numerical!N28),IMPRODUCT(1-analytical!$D$5,numerical!O28))</f>
        <v>0.000714253646193735+0.000411372015755076i</v>
      </c>
      <c r="Q28" t="str">
        <f t="shared" ca="1" si="7"/>
        <v>1051.32351928683-605.506289879601i</v>
      </c>
      <c r="R28">
        <f t="shared" ca="1" si="8"/>
        <v>1051.3235192868301</v>
      </c>
      <c r="S28">
        <f t="shared" ca="1" si="9"/>
        <v>-605.50628987960101</v>
      </c>
    </row>
    <row r="29" spans="1:19" x14ac:dyDescent="0.15">
      <c r="A29">
        <f t="shared" si="10"/>
        <v>570</v>
      </c>
      <c r="B29">
        <f t="shared" si="0"/>
        <v>3581.4156250923643</v>
      </c>
      <c r="C29" s="5">
        <f>data!O29</f>
        <v>-23.408000000000001</v>
      </c>
      <c r="D29" s="5">
        <f>data!B29</f>
        <v>-25.626000000000001</v>
      </c>
      <c r="E29" s="5">
        <f>data!G29</f>
        <v>-3.1954000000000003E-8</v>
      </c>
      <c r="F29" s="5">
        <f>data!J29</f>
        <v>-8.0298999999999993E-9</v>
      </c>
      <c r="G29" t="str">
        <f t="shared" si="1"/>
        <v>-23.408-25.626i</v>
      </c>
      <c r="H29" t="str">
        <f t="shared" si="2"/>
        <v>-0.000000031954-0.0000000080299i</v>
      </c>
      <c r="I29" t="str">
        <f t="shared" ca="1" si="11"/>
        <v>1.59339790721245-9.87653491979183i</v>
      </c>
      <c r="J29" t="str">
        <f ca="1">IMSUB(analytical!$D$5*analytical!$I$10,I29)</f>
        <v>-0.46069790721245+9.87653491979183i</v>
      </c>
      <c r="K29" t="str">
        <f ca="1">IMPRODUCT(analytical!$D$5/numerical!B29^2,IMDIV(numerical!G29,numerical!I29))</f>
        <v>1.5801455364481E-07-1.99184070404228E-07i</v>
      </c>
      <c r="L29" t="str">
        <f t="shared" ca="1" si="3"/>
        <v>3.12056527528541E-08+1.17294827086488E-08i</v>
      </c>
      <c r="M29" t="str">
        <f t="shared" ca="1" si="4"/>
        <v>1.26808900891956E-07-2.10913553112877E-07i</v>
      </c>
      <c r="N29" t="str">
        <f t="shared" ca="1" si="5"/>
        <v>0.000755369094662205+0.00045415537905524i</v>
      </c>
      <c r="O29" t="str">
        <f t="shared" si="6"/>
        <v>0.0000287584093279291-0.000114440554884201i</v>
      </c>
      <c r="P29" t="str">
        <f ca="1">IMSUM(IMPRODUCT(analytical!$D$5,numerical!N29),IMPRODUCT(1-analytical!$D$5,numerical!O29))</f>
        <v>0.000711772453542149+0.000420039623018874i</v>
      </c>
      <c r="Q29" t="str">
        <f t="shared" ca="1" si="7"/>
        <v>1042.04524386644-614.944128877211i</v>
      </c>
      <c r="R29">
        <f t="shared" ca="1" si="8"/>
        <v>1042.0452438664399</v>
      </c>
      <c r="S29">
        <f t="shared" ca="1" si="9"/>
        <v>-614.94412887721103</v>
      </c>
    </row>
    <row r="30" spans="1:19" x14ac:dyDescent="0.15">
      <c r="A30">
        <f t="shared" si="10"/>
        <v>580</v>
      </c>
      <c r="B30">
        <f t="shared" si="0"/>
        <v>3644.2474781641599</v>
      </c>
      <c r="C30" s="5">
        <f>data!O30</f>
        <v>-23.56</v>
      </c>
      <c r="D30" s="5">
        <f>data!B30</f>
        <v>-25.725000000000001</v>
      </c>
      <c r="E30" s="5">
        <f>data!G30</f>
        <v>-2.9105999999999999E-8</v>
      </c>
      <c r="F30" s="5">
        <f>data!J30</f>
        <v>-6.483E-9</v>
      </c>
      <c r="G30" t="str">
        <f t="shared" si="1"/>
        <v>-23.56-25.725i</v>
      </c>
      <c r="H30" t="str">
        <f t="shared" si="2"/>
        <v>-0.000000029106-0.000000006483i</v>
      </c>
      <c r="I30" t="str">
        <f t="shared" ca="1" si="11"/>
        <v>1.59338693530448-9.70652100715566i</v>
      </c>
      <c r="J30" t="str">
        <f ca="1">IMSUB(analytical!$D$5*analytical!$I$10,I30)</f>
        <v>-0.46068693530448+9.70652100715566i</v>
      </c>
      <c r="K30" t="str">
        <f ca="1">IMPRODUCT(analytical!$D$5/numerical!B30^2,IMDIV(numerical!G30,numerical!I30))</f>
        <v>1.55203101699691E-07-1.97277832824465E-07i</v>
      </c>
      <c r="L30" t="str">
        <f t="shared" ca="1" si="3"/>
        <v>2.85120101023971E-08+9.90770897255802E-09i</v>
      </c>
      <c r="M30" t="str">
        <f t="shared" ca="1" si="4"/>
        <v>1.26691091597294E-07-2.07185541797023E-07i</v>
      </c>
      <c r="N30" t="str">
        <f t="shared" ca="1" si="5"/>
        <v>0.000755035388205876+0.000461693691059303i</v>
      </c>
      <c r="O30" t="str">
        <f t="shared" si="6"/>
        <v>0.0000236256564009382-0.000106069467099446i</v>
      </c>
      <c r="P30" t="str">
        <f ca="1">IMSUM(IMPRODUCT(analytical!$D$5,numerical!N30),IMPRODUCT(1-analytical!$D$5,numerical!O30))</f>
        <v>0.000711150804297579+0.000427627901569778i</v>
      </c>
      <c r="Q30" t="str">
        <f t="shared" ca="1" si="7"/>
        <v>1032.74713911299-621.009621703643i</v>
      </c>
      <c r="R30">
        <f t="shared" ca="1" si="8"/>
        <v>1032.74713911299</v>
      </c>
      <c r="S30">
        <f t="shared" ca="1" si="9"/>
        <v>-621.00962170364301</v>
      </c>
    </row>
    <row r="31" spans="1:19" x14ac:dyDescent="0.15">
      <c r="A31">
        <f t="shared" si="10"/>
        <v>590</v>
      </c>
      <c r="B31">
        <f t="shared" si="0"/>
        <v>3707.079331235956</v>
      </c>
      <c r="C31" s="5">
        <f>data!O31</f>
        <v>-23.721</v>
      </c>
      <c r="D31" s="5">
        <f>data!B31</f>
        <v>-25.832999999999998</v>
      </c>
      <c r="E31" s="5">
        <f>data!G31</f>
        <v>-2.665E-8</v>
      </c>
      <c r="F31" s="5">
        <f>data!J31</f>
        <v>-5.2581999999999999E-9</v>
      </c>
      <c r="G31" t="str">
        <f t="shared" si="1"/>
        <v>-23.721-25.833i</v>
      </c>
      <c r="H31" t="str">
        <f t="shared" si="2"/>
        <v>-0.00000002665-0.0000000052582i</v>
      </c>
      <c r="I31" t="str">
        <f t="shared" ca="1" si="11"/>
        <v>1.59337577478025-9.5422748759453i</v>
      </c>
      <c r="J31" t="str">
        <f ca="1">IMSUB(analytical!$D$5*analytical!$I$10,I31)</f>
        <v>-0.46067577478025+9.5422748759453i</v>
      </c>
      <c r="K31" t="str">
        <f ca="1">IMPRODUCT(analytical!$D$5/numerical!B31^2,IMDIV(numerical!G31,numerical!I31))</f>
        <v>1.52531021844564E-07-1.95507414862271E-07i</v>
      </c>
      <c r="L31" t="str">
        <f t="shared" ca="1" si="3"/>
        <v>2.61796529985872E-08+8.44435140147902E-09i</v>
      </c>
      <c r="M31" t="str">
        <f t="shared" ca="1" si="4"/>
        <v>1.26351368845977E-07-2.0395176626375E-07i</v>
      </c>
      <c r="N31" t="str">
        <f t="shared" ca="1" si="5"/>
        <v>0.000756065377285415+0.000468394547922293i</v>
      </c>
      <c r="O31" t="str">
        <f t="shared" si="6"/>
        <v>0.0000194925645395049-0.0000987936641774383i</v>
      </c>
      <c r="P31" t="str">
        <f ca="1">IMSUM(IMPRODUCT(analytical!$D$5,numerical!N31),IMPRODUCT(1-analytical!$D$5,numerical!O31))</f>
        <v>0.00071187100852066+0.000434363255196309i</v>
      </c>
      <c r="Q31" t="str">
        <f t="shared" ca="1" si="7"/>
        <v>1023.63889455051-624.595069978336i</v>
      </c>
      <c r="R31">
        <f t="shared" ca="1" si="8"/>
        <v>1023.63889455051</v>
      </c>
      <c r="S31">
        <f t="shared" ca="1" si="9"/>
        <v>-624.59506997833603</v>
      </c>
    </row>
    <row r="32" spans="1:19" x14ac:dyDescent="0.15">
      <c r="A32">
        <f t="shared" si="10"/>
        <v>600</v>
      </c>
      <c r="B32">
        <f t="shared" si="0"/>
        <v>3769.9111843077517</v>
      </c>
      <c r="C32" s="5">
        <f>data!O32</f>
        <v>-23.888999999999999</v>
      </c>
      <c r="D32" s="5">
        <f>data!B32</f>
        <v>-25.946999999999999</v>
      </c>
      <c r="E32" s="5">
        <f>data!G32</f>
        <v>-2.4512999999999999E-8</v>
      </c>
      <c r="F32" s="5">
        <f>data!J32</f>
        <v>-4.2718000000000001E-9</v>
      </c>
      <c r="G32" t="str">
        <f t="shared" si="1"/>
        <v>-23.889-25.947i</v>
      </c>
      <c r="H32" t="str">
        <f t="shared" si="2"/>
        <v>-0.000000024513-0.0000000042718i</v>
      </c>
      <c r="I32" t="str">
        <f t="shared" ca="1" si="11"/>
        <v>1.59336442575262-9.38350813516267i</v>
      </c>
      <c r="J32" t="str">
        <f ca="1">IMSUB(analytical!$D$5*analytical!$I$10,I32)</f>
        <v>-0.46066442575262+9.38350813516267i</v>
      </c>
      <c r="K32" t="str">
        <f ca="1">IMPRODUCT(analytical!$D$5/numerical!B32^2,IMDIV(numerical!G32,numerical!I32))</f>
        <v>1.49972479156729E-07-1.93849084289974E-07i</v>
      </c>
      <c r="L32" t="str">
        <f t="shared" ca="1" si="3"/>
        <v>2.41435004760545E-08+7.24894777710157E-09i</v>
      </c>
      <c r="M32" t="str">
        <f t="shared" ca="1" si="4"/>
        <v>1.25828978680674E-07-2.01098032067076E-07i</v>
      </c>
      <c r="N32" t="str">
        <f t="shared" ca="1" si="5"/>
        <v>0.000758121720231948+0.000474364074038294i</v>
      </c>
      <c r="O32" t="str">
        <f t="shared" si="6"/>
        <v>0.0000161043065971258-0.0000924118328609359i</v>
      </c>
      <c r="P32" t="str">
        <f ca="1">IMSUM(IMPRODUCT(analytical!$D$5,numerical!N32),IMPRODUCT(1-analytical!$D$5,numerical!O32))</f>
        <v>0.000713600675413859+0.00044035751962434i</v>
      </c>
      <c r="Q32" t="str">
        <f t="shared" ca="1" si="7"/>
        <v>1014.87612199606-626.272293743228i</v>
      </c>
      <c r="R32">
        <f t="shared" ca="1" si="8"/>
        <v>1014.87612199606</v>
      </c>
      <c r="S32">
        <f t="shared" ca="1" si="9"/>
        <v>-626.27229374322803</v>
      </c>
    </row>
    <row r="33" spans="1:19" x14ac:dyDescent="0.15">
      <c r="A33">
        <f t="shared" si="10"/>
        <v>610</v>
      </c>
      <c r="B33">
        <f t="shared" si="0"/>
        <v>3832.7430373795478</v>
      </c>
      <c r="C33" s="5">
        <f>data!O33</f>
        <v>-24.062999999999999</v>
      </c>
      <c r="D33" s="5">
        <f>data!B33</f>
        <v>-26.065999999999999</v>
      </c>
      <c r="E33" s="5">
        <f>data!G33</f>
        <v>-2.2638999999999998E-8</v>
      </c>
      <c r="F33" s="5">
        <f>data!J33</f>
        <v>-3.4653E-9</v>
      </c>
      <c r="G33" t="str">
        <f t="shared" si="1"/>
        <v>-24.063-26.066i</v>
      </c>
      <c r="H33" t="str">
        <f t="shared" si="2"/>
        <v>-0.000000022639-0.0000000034653i</v>
      </c>
      <c r="I33" t="str">
        <f t="shared" ca="1" si="11"/>
        <v>1.59335288833631-9.22995130466333i</v>
      </c>
      <c r="J33" t="str">
        <f ca="1">IMSUB(analytical!$D$5*analytical!$I$10,I33)</f>
        <v>-0.46065288833631+9.22995130466333i</v>
      </c>
      <c r="K33" t="str">
        <f ca="1">IMPRODUCT(analytical!$D$5/numerical!B33^2,IMDIV(numerical!G33,numerical!I33))</f>
        <v>1.47515855030612E-07-0.000000192289551364i</v>
      </c>
      <c r="L33" t="str">
        <f t="shared" ca="1" si="3"/>
        <v>2.23531090546655E-08+6.25782738599985E-09i</v>
      </c>
      <c r="M33" t="str">
        <f t="shared" ca="1" si="4"/>
        <v>1.25162745975946E-07-0.00000019854737875i</v>
      </c>
      <c r="N33" t="str">
        <f t="shared" ca="1" si="5"/>
        <v>0.000760981083494023+0.000479716643178612i</v>
      </c>
      <c r="O33" t="str">
        <f t="shared" si="6"/>
        <v>0.0000132816044474314-0.0000867694696232356i</v>
      </c>
      <c r="P33" t="str">
        <f ca="1">IMSUM(IMPRODUCT(analytical!$D$5,numerical!N33),IMPRODUCT(1-analytical!$D$5,numerical!O33))</f>
        <v>0.000716119114751228+0.000445727476410501i</v>
      </c>
      <c r="Q33" t="str">
        <f t="shared" ca="1" si="7"/>
        <v>1006.4926884124-626.462046314075i</v>
      </c>
      <c r="R33">
        <f t="shared" ca="1" si="8"/>
        <v>1006.4926884124</v>
      </c>
      <c r="S33">
        <f t="shared" ca="1" si="9"/>
        <v>-626.462046314075</v>
      </c>
    </row>
    <row r="34" spans="1:19" x14ac:dyDescent="0.15">
      <c r="A34">
        <f t="shared" si="10"/>
        <v>620</v>
      </c>
      <c r="B34">
        <f t="shared" si="0"/>
        <v>3895.5748904513434</v>
      </c>
      <c r="C34" s="5">
        <f>data!O34</f>
        <v>-24.24</v>
      </c>
      <c r="D34" s="5">
        <f>data!B34</f>
        <v>-26.189</v>
      </c>
      <c r="E34" s="5">
        <f>data!G34</f>
        <v>-2.0981999999999999E-8</v>
      </c>
      <c r="F34" s="5">
        <f>data!J34</f>
        <v>-2.7973999999999999E-9</v>
      </c>
      <c r="G34" t="str">
        <f t="shared" si="1"/>
        <v>-24.24-26.189i</v>
      </c>
      <c r="H34" t="str">
        <f t="shared" si="2"/>
        <v>-0.000000020982-0.0000000027974i</v>
      </c>
      <c r="I34" t="str">
        <f t="shared" ca="1" si="11"/>
        <v>1.59334116264784-9.08135229008797i</v>
      </c>
      <c r="J34" t="str">
        <f ca="1">IMSUB(analytical!$D$5*analytical!$I$10,I34)</f>
        <v>-0.46064116264784+9.08135229008797i</v>
      </c>
      <c r="K34" t="str">
        <f ca="1">IMPRODUCT(analytical!$D$5/numerical!B34^2,IMDIV(numerical!G34,numerical!I34))</f>
        <v>1.4515269835153E-07-1.90803099984196E-07i</v>
      </c>
      <c r="L34" t="str">
        <f t="shared" ca="1" si="3"/>
        <v>2.07663869318581E-08+5.42538214319242E-09i</v>
      </c>
      <c r="M34" t="str">
        <f t="shared" ca="1" si="4"/>
        <v>1.24386311419672E-07-1.96228482127388E-07i</v>
      </c>
      <c r="N34" t="str">
        <f t="shared" ca="1" si="5"/>
        <v>0.000764422747766832+0.000484556191482335i</v>
      </c>
      <c r="O34" t="str">
        <f t="shared" si="6"/>
        <v>0.0000108974811985486-0.00008173695235145i</v>
      </c>
      <c r="P34" t="str">
        <f ca="1">IMSUM(IMPRODUCT(analytical!$D$5,numerical!N34),IMPRODUCT(1-analytical!$D$5,numerical!O34))</f>
        <v>0.000719211231772735+0.000450578602852308i</v>
      </c>
      <c r="Q34" t="str">
        <f t="shared" ca="1" si="7"/>
        <v>998.508034762921-625.555240748031i</v>
      </c>
      <c r="R34">
        <f t="shared" ca="1" si="8"/>
        <v>998.50803476292106</v>
      </c>
      <c r="S34">
        <f t="shared" ca="1" si="9"/>
        <v>-625.555240748031</v>
      </c>
    </row>
    <row r="35" spans="1:19" x14ac:dyDescent="0.15">
      <c r="A35">
        <f t="shared" si="10"/>
        <v>630</v>
      </c>
      <c r="B35">
        <f t="shared" si="0"/>
        <v>3958.4067435231395</v>
      </c>
      <c r="C35" s="5">
        <f>data!O35</f>
        <v>-24.42</v>
      </c>
      <c r="D35" s="5">
        <f>data!B35</f>
        <v>-26.315999999999999</v>
      </c>
      <c r="E35" s="5">
        <f>data!G35</f>
        <v>-1.9507999999999998E-8</v>
      </c>
      <c r="F35" s="5">
        <f>data!J35</f>
        <v>-2.2377999999999999E-9</v>
      </c>
      <c r="G35" t="str">
        <f t="shared" si="1"/>
        <v>-24.42-26.316i</v>
      </c>
      <c r="H35" t="str">
        <f t="shared" si="2"/>
        <v>-0.000000019508-0.0000000022378i</v>
      </c>
      <c r="I35" t="str">
        <f t="shared" ca="1" si="11"/>
        <v>1.59332924880563-8.93747500303842i</v>
      </c>
      <c r="J35" t="str">
        <f ca="1">IMSUB(analytical!$D$5*analytical!$I$10,I35)</f>
        <v>-0.46062924880563+8.93747500303842i</v>
      </c>
      <c r="K35" t="str">
        <f ca="1">IMPRODUCT(analytical!$D$5/numerical!B35^2,IMDIV(numerical!G35,numerical!I35))</f>
        <v>1.42878353464831E-07-1.89386327918195E-07i</v>
      </c>
      <c r="L35" t="str">
        <f t="shared" ca="1" si="3"/>
        <v>1.93522273971496E-08+4.71819463153732E-09i</v>
      </c>
      <c r="M35" t="str">
        <f t="shared" ca="1" si="4"/>
        <v>1.23526126067681E-07-1.94104522549732E-07i</v>
      </c>
      <c r="N35" t="str">
        <f t="shared" ca="1" si="5"/>
        <v>0.000768344651009198+0.000488966650427598i</v>
      </c>
      <c r="O35" t="str">
        <f t="shared" si="6"/>
        <v>8.85812261065608E-06-0.0000772205987526494i</v>
      </c>
      <c r="P35" t="str">
        <f ca="1">IMSUM(IMPRODUCT(analytical!$D$5,numerical!N35),IMPRODUCT(1-analytical!$D$5,numerical!O35))</f>
        <v>0.000722775459305285+0.000454995415476783i</v>
      </c>
      <c r="Q35" t="str">
        <f t="shared" ca="1" si="7"/>
        <v>990.883597879106-623.772554120027i</v>
      </c>
      <c r="R35">
        <f t="shared" ca="1" si="8"/>
        <v>990.88359787910599</v>
      </c>
      <c r="S35">
        <f t="shared" ca="1" si="9"/>
        <v>-623.77255412002705</v>
      </c>
    </row>
    <row r="36" spans="1:19" x14ac:dyDescent="0.15">
      <c r="A36">
        <f t="shared" si="10"/>
        <v>640</v>
      </c>
      <c r="B36">
        <f t="shared" si="0"/>
        <v>4021.2385965949352</v>
      </c>
      <c r="C36" s="5">
        <f>data!O36</f>
        <v>-24.600999999999999</v>
      </c>
      <c r="D36" s="5">
        <f>data!B36</f>
        <v>-26.446000000000002</v>
      </c>
      <c r="E36" s="5">
        <f>data!G36</f>
        <v>-1.8189000000000002E-8</v>
      </c>
      <c r="F36" s="5">
        <f>data!J36</f>
        <v>-1.7639999999999999E-9</v>
      </c>
      <c r="G36" t="str">
        <f t="shared" si="1"/>
        <v>-24.601-26.446i</v>
      </c>
      <c r="H36" t="str">
        <f t="shared" si="2"/>
        <v>-0.000000018189-0.000000001764i</v>
      </c>
      <c r="I36" t="str">
        <f t="shared" ca="1" si="11"/>
        <v>1.59331714692994-8.79809811061149i</v>
      </c>
      <c r="J36" t="str">
        <f ca="1">IMSUB(analytical!$D$5*analytical!$I$10,I36)</f>
        <v>-0.46061714692994+8.79809811061149i</v>
      </c>
      <c r="K36" t="str">
        <f ca="1">IMPRODUCT(analytical!$D$5/numerical!B36^2,IMDIV(numerical!G36,numerical!I36))</f>
        <v>1.40684374969128E-07-1.88022089746855E-07i</v>
      </c>
      <c r="L36" t="str">
        <f t="shared" ca="1" si="3"/>
        <v>1.80847805162561E-08+4.11117609665544E-09i</v>
      </c>
      <c r="M36" t="str">
        <f t="shared" ca="1" si="4"/>
        <v>1.22599594452872E-07-1.9213326584351E-07i</v>
      </c>
      <c r="N36" t="str">
        <f t="shared" ca="1" si="5"/>
        <v>0.000772613704299759+0.000493002221140776i</v>
      </c>
      <c r="O36" t="str">
        <f t="shared" si="6"/>
        <v>7.09346488439347E-06-0.0000731423088334654i</v>
      </c>
      <c r="P36" t="str">
        <f ca="1">IMSUM(IMPRODUCT(analytical!$D$5,numerical!N36),IMPRODUCT(1-analytical!$D$5,numerical!O36))</f>
        <v>0.000726682489934837+0.000459033549342321i</v>
      </c>
      <c r="Q36" t="str">
        <f t="shared" ca="1" si="7"/>
        <v>983.626027911874-621.340617218346i</v>
      </c>
      <c r="R36">
        <f t="shared" ca="1" si="8"/>
        <v>983.62602791187396</v>
      </c>
      <c r="S36">
        <f t="shared" ca="1" si="9"/>
        <v>-621.34061721834598</v>
      </c>
    </row>
    <row r="37" spans="1:19" x14ac:dyDescent="0.15">
      <c r="A37">
        <f t="shared" si="10"/>
        <v>650</v>
      </c>
      <c r="B37">
        <f t="shared" si="0"/>
        <v>4084.0704496667308</v>
      </c>
      <c r="C37" s="5">
        <f>data!O37</f>
        <v>-24.785</v>
      </c>
      <c r="D37" s="5">
        <f>data!B37</f>
        <v>-26.579000000000001</v>
      </c>
      <c r="E37" s="5">
        <f>data!G37</f>
        <v>-1.7001000000000001E-8</v>
      </c>
      <c r="F37" s="5">
        <f>data!J37</f>
        <v>-1.3593000000000001E-9</v>
      </c>
      <c r="G37" t="str">
        <f t="shared" si="1"/>
        <v>-24.785-26.579i</v>
      </c>
      <c r="H37" t="str">
        <f t="shared" si="2"/>
        <v>-0.000000017001-0.0000000013593i</v>
      </c>
      <c r="I37" t="str">
        <f t="shared" ca="1" si="11"/>
        <v>1.59330485714281-8.66301390036151i</v>
      </c>
      <c r="J37" t="str">
        <f ca="1">IMSUB(analytical!$D$5*analytical!$I$10,I37)</f>
        <v>-0.46060485714281+8.66301390036151i</v>
      </c>
      <c r="K37" t="str">
        <f ca="1">IMPRODUCT(analytical!$D$5/numerical!B37^2,IMDIV(numerical!G37,numerical!I37))</f>
        <v>1.38564658626101E-07-1.86720605603935E-07i</v>
      </c>
      <c r="L37" t="str">
        <f t="shared" ca="1" si="3"/>
        <v>1.69416274154265E-08+3.58535899316759E-09i</v>
      </c>
      <c r="M37" t="str">
        <f t="shared" ca="1" si="4"/>
        <v>1.21623031210674E-07-1.90305964597103E-07i</v>
      </c>
      <c r="N37" t="str">
        <f t="shared" ca="1" si="5"/>
        <v>0.000777222966406351+0.000496717027766408i</v>
      </c>
      <c r="O37" t="str">
        <f t="shared" si="6"/>
        <v>5.55147696223199E-06-0.0000694332817147841i</v>
      </c>
      <c r="P37" t="str">
        <f ca="1">IMSUM(IMPRODUCT(analytical!$D$5,numerical!N37),IMPRODUCT(1-analytical!$D$5,numerical!O37))</f>
        <v>0.000730922677039704+0.000462748009197537i</v>
      </c>
      <c r="Q37" t="str">
        <f t="shared" ca="1" si="7"/>
        <v>976.668381128381-618.329904393963i</v>
      </c>
      <c r="R37">
        <f t="shared" ca="1" si="8"/>
        <v>976.66838112838104</v>
      </c>
      <c r="S37">
        <f t="shared" ca="1" si="9"/>
        <v>-618.32990439396303</v>
      </c>
    </row>
    <row r="38" spans="1:19" x14ac:dyDescent="0.15">
      <c r="A38">
        <f t="shared" si="10"/>
        <v>660</v>
      </c>
      <c r="B38">
        <f t="shared" si="0"/>
        <v>4146.9023027385265</v>
      </c>
      <c r="C38" s="5">
        <f>data!O38</f>
        <v>-24.969000000000001</v>
      </c>
      <c r="D38" s="5">
        <f>data!B38</f>
        <v>-26.713000000000001</v>
      </c>
      <c r="E38" s="5">
        <f>data!G38</f>
        <v>-1.5926E-8</v>
      </c>
      <c r="F38" s="5">
        <f>data!J38</f>
        <v>-1.0107E-9</v>
      </c>
      <c r="G38" t="str">
        <f t="shared" si="1"/>
        <v>-24.969-26.713i</v>
      </c>
      <c r="H38" t="str">
        <f t="shared" si="2"/>
        <v>-0.000000015926-0.0000000010107i</v>
      </c>
      <c r="I38" t="str">
        <f t="shared" ca="1" si="11"/>
        <v>1.59329237956815-8.532027248447i</v>
      </c>
      <c r="J38" t="str">
        <f ca="1">IMSUB(analytical!$D$5*analytical!$I$10,I38)</f>
        <v>-0.46059237956815+8.532027248447i</v>
      </c>
      <c r="K38" t="str">
        <f ca="1">IMPRODUCT(analytical!$D$5/numerical!B38^2,IMDIV(numerical!G38,numerical!I38))</f>
        <v>1.36506738322211E-07-1.85458157783168E-07i</v>
      </c>
      <c r="L38" t="str">
        <f t="shared" ca="1" si="3"/>
        <v>1.59060180699235E-08+3.12609218044662E-09i</v>
      </c>
      <c r="M38" t="str">
        <f t="shared" ca="1" si="4"/>
        <v>1.20600720252288E-07-1.88584249963615E-07i</v>
      </c>
      <c r="N38" t="str">
        <f t="shared" ca="1" si="5"/>
        <v>0.000782040460434334+0.000500119404526138i</v>
      </c>
      <c r="O38" t="str">
        <f t="shared" si="6"/>
        <v>4.19127415737783E-06-0.0000660435660734138i</v>
      </c>
      <c r="P38" t="str">
        <f ca="1">IMSUM(IMPRODUCT(analytical!$D$5,numerical!N38),IMPRODUCT(1-analytical!$D$5,numerical!O38))</f>
        <v>0.000735369509257717+0.000466149626290165i</v>
      </c>
      <c r="Q38" t="str">
        <f t="shared" ca="1" si="7"/>
        <v>970.062836002839-614.921373252403i</v>
      </c>
      <c r="R38">
        <f t="shared" ca="1" si="8"/>
        <v>970.06283600283905</v>
      </c>
      <c r="S38">
        <f t="shared" ca="1" si="9"/>
        <v>-614.92137325240299</v>
      </c>
    </row>
    <row r="39" spans="1:19" x14ac:dyDescent="0.15">
      <c r="A39">
        <f t="shared" si="10"/>
        <v>670</v>
      </c>
      <c r="B39">
        <f t="shared" si="0"/>
        <v>4209.7341558103226</v>
      </c>
      <c r="C39" s="5">
        <f>data!O39</f>
        <v>-25.152999999999999</v>
      </c>
      <c r="D39" s="5">
        <f>data!B39</f>
        <v>-26.849</v>
      </c>
      <c r="E39" s="5">
        <f>data!G39</f>
        <v>-1.4947999999999999E-8</v>
      </c>
      <c r="F39" s="5">
        <f>data!J39</f>
        <v>-7.0817000000000005E-10</v>
      </c>
      <c r="G39" t="str">
        <f t="shared" si="1"/>
        <v>-25.153-26.849i</v>
      </c>
      <c r="H39" t="str">
        <f t="shared" si="2"/>
        <v>-0.000000014948-0.00000000070817i</v>
      </c>
      <c r="I39" t="str">
        <f t="shared" ca="1" si="11"/>
        <v>1.59327971433171-8.4049546801832i</v>
      </c>
      <c r="J39" t="str">
        <f ca="1">IMSUB(analytical!$D$5*analytical!$I$10,I39)</f>
        <v>-0.46057971433171+8.4049546801832i</v>
      </c>
      <c r="K39" t="str">
        <f ca="1">IMPRODUCT(analytical!$D$5/numerical!B39^2,IMDIV(numerical!G39,numerical!I39))</f>
        <v>1.34513946998975E-07-1.84234132061653E-07i</v>
      </c>
      <c r="L39" t="str">
        <f t="shared" ca="1" si="3"/>
        <v>1.49629087585498E-08+2.72183141427869E-09i</v>
      </c>
      <c r="M39" t="str">
        <f t="shared" ca="1" si="4"/>
        <v>1.19551038240425E-07-1.86955963475932E-07i</v>
      </c>
      <c r="N39" t="str">
        <f t="shared" ca="1" si="5"/>
        <v>0.000787034905077058+0.000503278089043303i</v>
      </c>
      <c r="O39" t="str">
        <f t="shared" si="6"/>
        <v>2.98120743712019E-06-0.0000629271061610527i</v>
      </c>
      <c r="P39" t="str">
        <f ca="1">IMSUM(IMPRODUCT(analytical!$D$5,numerical!N39),IMPRODUCT(1-analytical!$D$5,numerical!O39))</f>
        <v>0.000739991683218661+0.000469305777331042i</v>
      </c>
      <c r="Q39" t="str">
        <f t="shared" ca="1" si="7"/>
        <v>963.737132649078-611.206064118721i</v>
      </c>
      <c r="R39">
        <f t="shared" ca="1" si="8"/>
        <v>963.73713264907803</v>
      </c>
      <c r="S39">
        <f t="shared" ca="1" si="9"/>
        <v>-611.20606411872097</v>
      </c>
    </row>
    <row r="40" spans="1:19" x14ac:dyDescent="0.15">
      <c r="A40">
        <f t="shared" si="10"/>
        <v>680</v>
      </c>
      <c r="B40">
        <f t="shared" si="0"/>
        <v>4272.5660088821187</v>
      </c>
      <c r="C40" s="5">
        <f>data!O40</f>
        <v>-25.338000000000001</v>
      </c>
      <c r="D40" s="5">
        <f>data!B40</f>
        <v>-26.986000000000001</v>
      </c>
      <c r="E40" s="5">
        <f>data!G40</f>
        <v>-1.4055000000000001E-8</v>
      </c>
      <c r="F40" s="5">
        <f>data!J40</f>
        <v>-4.4385000000000002E-10</v>
      </c>
      <c r="G40" t="str">
        <f t="shared" si="1"/>
        <v>-25.338-26.986i</v>
      </c>
      <c r="H40" t="str">
        <f t="shared" si="2"/>
        <v>-0.000000014055-0.00000000044385i</v>
      </c>
      <c r="I40" t="str">
        <f t="shared" ca="1" si="11"/>
        <v>1.59326686156103-8.28162351348598i</v>
      </c>
      <c r="J40" t="str">
        <f ca="1">IMSUB(analytical!$D$5*analytical!$I$10,I40)</f>
        <v>-0.46056686156103+8.28162351348598i</v>
      </c>
      <c r="K40" t="str">
        <f ca="1">IMPRODUCT(analytical!$D$5/numerical!B40^2,IMDIV(numerical!G40,numerical!I40))</f>
        <v>1.3257625080703E-07-1.83051702094445E-07i</v>
      </c>
      <c r="L40" t="str">
        <f t="shared" ca="1" si="3"/>
        <v>1.41010583143819E-08+2.36362883814765E-09i</v>
      </c>
      <c r="M40" t="str">
        <f t="shared" ca="1" si="4"/>
        <v>1.18475192492648E-07-1.85415330932593E-07i</v>
      </c>
      <c r="N40" t="str">
        <f t="shared" ca="1" si="5"/>
        <v>0.000792199240468226+0.000506193080339854i</v>
      </c>
      <c r="O40" t="str">
        <f t="shared" si="6"/>
        <v>1.89637842304233E-06-0.0000600509152548382i</v>
      </c>
      <c r="P40" t="str">
        <f ca="1">IMSUM(IMPRODUCT(analytical!$D$5,numerical!N40),IMPRODUCT(1-analytical!$D$5,numerical!O40))</f>
        <v>0.000744781068745515+0.000472218440604173i</v>
      </c>
      <c r="Q40" t="str">
        <f t="shared" ca="1" si="7"/>
        <v>957.684854485243-607.207228477206i</v>
      </c>
      <c r="R40">
        <f t="shared" ca="1" si="8"/>
        <v>957.68485448524302</v>
      </c>
      <c r="S40">
        <f t="shared" ca="1" si="9"/>
        <v>-607.20722847720594</v>
      </c>
    </row>
    <row r="41" spans="1:19" x14ac:dyDescent="0.15">
      <c r="A41">
        <f t="shared" si="10"/>
        <v>690</v>
      </c>
      <c r="B41">
        <f t="shared" si="0"/>
        <v>4335.3978619539148</v>
      </c>
      <c r="C41" s="5">
        <f>data!O41</f>
        <v>-25.523</v>
      </c>
      <c r="D41" s="5">
        <f>data!B41</f>
        <v>-27.123999999999999</v>
      </c>
      <c r="E41" s="5">
        <f>data!G41</f>
        <v>-1.3236E-8</v>
      </c>
      <c r="F41" s="5">
        <f>data!J41</f>
        <v>-2.1146999999999999E-10</v>
      </c>
      <c r="G41" t="str">
        <f t="shared" si="1"/>
        <v>-25.523-27.124i</v>
      </c>
      <c r="H41" t="str">
        <f t="shared" si="2"/>
        <v>-0.000000013236-0.00000000021147i</v>
      </c>
      <c r="I41" t="str">
        <f t="shared" ca="1" si="11"/>
        <v>1.59325382138552-8.16187107679993i</v>
      </c>
      <c r="J41" t="str">
        <f ca="1">IMSUB(analytical!$D$5*analytical!$I$10,I41)</f>
        <v>-0.46055382138552+8.16187107679993i</v>
      </c>
      <c r="K41" t="str">
        <f ca="1">IMPRODUCT(analytical!$D$5/numerical!B41^2,IMDIV(numerical!G41,numerical!I41))</f>
        <v>1.30692368288509E-07-1.81903117174461E-07i</v>
      </c>
      <c r="L41" t="str">
        <f t="shared" ca="1" si="3"/>
        <v>1.33100672577752E-08+2.04417540549347E-09i</v>
      </c>
      <c r="M41" t="str">
        <f t="shared" ca="1" si="4"/>
        <v>1.17382301030734E-07-1.83947292579954E-07i</v>
      </c>
      <c r="N41" t="str">
        <f t="shared" ca="1" si="5"/>
        <v>0.000797484698963343+0.000508898976919874i</v>
      </c>
      <c r="O41" t="str">
        <f t="shared" si="6"/>
        <v>9.16806585867393E-07-0.000057383326100822i</v>
      </c>
      <c r="P41" t="str">
        <f ca="1">IMSUM(IMPRODUCT(analytical!$D$5,numerical!N41),IMPRODUCT(1-analytical!$D$5,numerical!O41))</f>
        <v>0.000749690625420694+0.000474922038738633i</v>
      </c>
      <c r="Q41" t="str">
        <f t="shared" ca="1" si="7"/>
        <v>951.88296350417-603.009004433382i</v>
      </c>
      <c r="R41">
        <f t="shared" ca="1" si="8"/>
        <v>951.88296350416999</v>
      </c>
      <c r="S41">
        <f t="shared" ca="1" si="9"/>
        <v>-603.00900443338196</v>
      </c>
    </row>
    <row r="42" spans="1:19" x14ac:dyDescent="0.15">
      <c r="A42">
        <f t="shared" si="10"/>
        <v>700</v>
      </c>
      <c r="B42">
        <f t="shared" si="0"/>
        <v>4398.22971502571</v>
      </c>
      <c r="C42" s="5">
        <f>data!O42</f>
        <v>-25.707999999999998</v>
      </c>
      <c r="D42" s="5">
        <f>data!B42</f>
        <v>-27.263000000000002</v>
      </c>
      <c r="E42" s="5">
        <f>data!G42</f>
        <v>-1.2480999999999999E-8</v>
      </c>
      <c r="F42" s="5">
        <f>data!J42</f>
        <v>-6.014E-12</v>
      </c>
      <c r="G42" t="str">
        <f t="shared" si="1"/>
        <v>-25.708-27.263i</v>
      </c>
      <c r="H42" t="str">
        <f t="shared" si="2"/>
        <v>-0.000000012481-0.000000000006014i</v>
      </c>
      <c r="I42" t="str">
        <f t="shared" ca="1" si="11"/>
        <v>1.59324059393634-8.04554399406005i</v>
      </c>
      <c r="J42" t="str">
        <f ca="1">IMSUB(analytical!$D$5*analytical!$I$10,I42)</f>
        <v>-0.46054059393634+8.04554399406005i</v>
      </c>
      <c r="K42" t="str">
        <f ca="1">IMPRODUCT(analytical!$D$5/numerical!B42^2,IMDIV(numerical!G42,numerical!I42))</f>
        <v>1.28860001416266E-07-1.80786906595592E-07i</v>
      </c>
      <c r="L42" t="str">
        <f t="shared" ca="1" si="3"/>
        <v>1.25804098415255E-08+1.75747374503953E-09i</v>
      </c>
      <c r="M42" t="str">
        <f t="shared" ca="1" si="4"/>
        <v>1.16279591574741E-07-1.82544380340632E-07i</v>
      </c>
      <c r="N42" t="str">
        <f t="shared" ca="1" si="5"/>
        <v>0.000802872117925123+0.000511424354915079i</v>
      </c>
      <c r="O42" t="str">
        <f t="shared" si="6"/>
        <v>2.64509535061646E-08-0.0000548943050732359i</v>
      </c>
      <c r="P42" t="str">
        <f ca="1">IMSUM(IMPRODUCT(analytical!$D$5,numerical!N42),IMPRODUCT(1-analytical!$D$5,numerical!O42))</f>
        <v>0.000754701377906826+0.00047744523531578i</v>
      </c>
      <c r="Q42" t="str">
        <f t="shared" ca="1" si="7"/>
        <v>946.300646431164-598.656300413673i</v>
      </c>
      <c r="R42">
        <f t="shared" ca="1" si="8"/>
        <v>946.30064643116395</v>
      </c>
      <c r="S42">
        <f t="shared" ca="1" si="9"/>
        <v>-598.65630041367297</v>
      </c>
    </row>
    <row r="43" spans="1:19" x14ac:dyDescent="0.15">
      <c r="A43">
        <f t="shared" si="10"/>
        <v>710</v>
      </c>
      <c r="B43">
        <f t="shared" si="0"/>
        <v>4461.0615680975061</v>
      </c>
      <c r="C43" s="5">
        <f>data!O43</f>
        <v>-25.891999999999999</v>
      </c>
      <c r="D43" s="5">
        <f>data!B43</f>
        <v>-27.402000000000001</v>
      </c>
      <c r="E43" s="5">
        <f>data!G43</f>
        <v>-1.1783E-8</v>
      </c>
      <c r="F43" s="5">
        <f>data!J43</f>
        <v>1.7659999999999999E-10</v>
      </c>
      <c r="G43" t="str">
        <f t="shared" si="1"/>
        <v>-25.892-27.402i</v>
      </c>
      <c r="H43" t="str">
        <f t="shared" si="2"/>
        <v>-0.000000011783+0.0000000001766i</v>
      </c>
      <c r="I43" t="str">
        <f t="shared" ca="1" si="11"/>
        <v>1.5932271793465-7.93249753008022i</v>
      </c>
      <c r="J43" t="str">
        <f ca="1">IMSUB(analytical!$D$5*analytical!$I$10,I43)</f>
        <v>-0.4605271793465+7.93249753008022i</v>
      </c>
      <c r="K43" t="str">
        <f ca="1">IMPRODUCT(analytical!$D$5/numerical!B43^2,IMDIV(numerical!G43,numerical!I43))</f>
        <v>1.27072407844449E-07-1.79694809523873E-07i</v>
      </c>
      <c r="L43" t="str">
        <f t="shared" ca="1" si="3"/>
        <v>1.19054844126553E-08+1.49881138822031E-09i</v>
      </c>
      <c r="M43" t="str">
        <f t="shared" ca="1" si="4"/>
        <v>1.15166923431794E-07-1.81193620912093E-07i</v>
      </c>
      <c r="N43" t="str">
        <f t="shared" ca="1" si="5"/>
        <v>0.000808315898635367+0.000513766736037605i</v>
      </c>
      <c r="O43" t="str">
        <f t="shared" si="6"/>
        <v>-7.8782347292602E-07-0.000052564688456893i</v>
      </c>
      <c r="P43" t="str">
        <f ca="1">IMSUM(IMPRODUCT(analytical!$D$5,numerical!N43),IMPRODUCT(1-analytical!$D$5,numerical!O43))</f>
        <v>0.000759769675308869+0.000479786850567935i</v>
      </c>
      <c r="Q43" t="str">
        <f t="shared" ca="1" si="7"/>
        <v>940.954884032413-594.203473773676i</v>
      </c>
      <c r="R43">
        <f t="shared" ca="1" si="8"/>
        <v>940.95488403241302</v>
      </c>
      <c r="S43">
        <f t="shared" ca="1" si="9"/>
        <v>-594.20347377367602</v>
      </c>
    </row>
    <row r="44" spans="1:19" x14ac:dyDescent="0.15">
      <c r="A44">
        <f t="shared" si="10"/>
        <v>720</v>
      </c>
      <c r="B44">
        <f t="shared" si="0"/>
        <v>4523.8934211693022</v>
      </c>
      <c r="C44" s="5">
        <f>data!O44</f>
        <v>-26.076000000000001</v>
      </c>
      <c r="D44" s="5">
        <f>data!B44</f>
        <v>-27.542000000000002</v>
      </c>
      <c r="E44" s="5">
        <f>data!G44</f>
        <v>-1.1136E-8</v>
      </c>
      <c r="F44" s="5">
        <f>data!J44</f>
        <v>3.3968999999999999E-10</v>
      </c>
      <c r="G44" t="str">
        <f t="shared" si="1"/>
        <v>-26.076-27.542i</v>
      </c>
      <c r="H44" t="str">
        <f t="shared" si="2"/>
        <v>-0.000000011136+0.00000000033969i</v>
      </c>
      <c r="I44" t="str">
        <f t="shared" ca="1" si="11"/>
        <v>1.59321357775081-7.82259499049205i</v>
      </c>
      <c r="J44" t="str">
        <f ca="1">IMSUB(analytical!$D$5*analytical!$I$10,I44)</f>
        <v>-0.46051357775081+7.82259499049205i</v>
      </c>
      <c r="K44" t="str">
        <f ca="1">IMPRODUCT(analytical!$D$5/numerical!B44^2,IMDIV(numerical!G44,numerical!I44))</f>
        <v>1.25332282926033E-07-1.78632563052284E-07i</v>
      </c>
      <c r="L44" t="str">
        <f t="shared" ca="1" si="3"/>
        <v>1.12796148169006E-08+1.26433150975501E-09i</v>
      </c>
      <c r="M44" t="str">
        <f t="shared" ca="1" si="4"/>
        <v>1.14052668109132E-07-1.79896894562039E-07i</v>
      </c>
      <c r="N44" t="str">
        <f t="shared" ca="1" si="5"/>
        <v>0.000813834377797996+0.000515962114925708i</v>
      </c>
      <c r="O44" t="str">
        <f t="shared" si="6"/>
        <v>-0.000001536721356237-0.0000503780771381413i</v>
      </c>
      <c r="P44" t="str">
        <f ca="1">IMSUM(IMPRODUCT(analytical!$D$5,numerical!N44),IMPRODUCT(1-analytical!$D$5,numerical!O44))</f>
        <v>0.000764912111848742+0.000481981703401877i</v>
      </c>
      <c r="Q44" t="str">
        <f t="shared" ca="1" si="7"/>
        <v>935.790324948655-589.654429390103i</v>
      </c>
      <c r="R44">
        <f t="shared" ca="1" si="8"/>
        <v>935.79032494865498</v>
      </c>
      <c r="S44">
        <f t="shared" ca="1" si="9"/>
        <v>-589.65442939010302</v>
      </c>
    </row>
    <row r="45" spans="1:19" x14ac:dyDescent="0.15">
      <c r="A45">
        <f t="shared" si="10"/>
        <v>730</v>
      </c>
      <c r="B45">
        <f t="shared" si="0"/>
        <v>4586.7252742410983</v>
      </c>
      <c r="C45" s="5">
        <f>data!O45</f>
        <v>-26.259</v>
      </c>
      <c r="D45" s="5">
        <f>data!B45</f>
        <v>-27.681999999999999</v>
      </c>
      <c r="E45" s="5">
        <f>data!G45</f>
        <v>-1.0534E-8</v>
      </c>
      <c r="F45" s="5">
        <f>data!J45</f>
        <v>4.8600999999999996E-10</v>
      </c>
      <c r="G45" t="str">
        <f t="shared" si="1"/>
        <v>-26.259-27.682i</v>
      </c>
      <c r="H45" t="str">
        <f t="shared" si="2"/>
        <v>-0.000000010534+0.00000000048601i</v>
      </c>
      <c r="I45" t="str">
        <f t="shared" ca="1" si="11"/>
        <v>1.59319978928587-7.71570717100434i</v>
      </c>
      <c r="J45" t="str">
        <f ca="1">IMSUB(analytical!$D$5*analytical!$I$10,I45)</f>
        <v>-0.46049978928587+7.71570717100434i</v>
      </c>
      <c r="K45" t="str">
        <f ca="1">IMPRODUCT(analytical!$D$5/numerical!B45^2,IMDIV(numerical!G45,numerical!I45))</f>
        <v>1.23633277245112E-07-1.77592220914533E-07i</v>
      </c>
      <c r="L45" t="str">
        <f t="shared" ca="1" si="3"/>
        <v>1.06970642691919E-08+1.05069564157164E-09i</v>
      </c>
      <c r="M45" t="str">
        <f t="shared" ca="1" si="4"/>
        <v>1.1293621297592E-07-1.78642916556105E-07i</v>
      </c>
      <c r="N45" t="str">
        <f t="shared" ca="1" si="5"/>
        <v>0.000819385980432031+0.000518007382433728i</v>
      </c>
      <c r="O45" t="str">
        <f t="shared" si="6"/>
        <v>-2.22919435053392E-06-0.0000483165640388558i</v>
      </c>
      <c r="P45" t="str">
        <f ca="1">IMSUM(IMPRODUCT(analytical!$D$5,numerical!N45),IMPRODUCT(1-analytical!$D$5,numerical!O45))</f>
        <v>0.000770089069945077+0.000484027945645373i</v>
      </c>
      <c r="Q45" t="str">
        <f t="shared" ca="1" si="7"/>
        <v>930.823451493917-585.055132670912i</v>
      </c>
      <c r="R45">
        <f t="shared" ca="1" si="8"/>
        <v>930.82345149391699</v>
      </c>
      <c r="S45">
        <f t="shared" ca="1" si="9"/>
        <v>-585.05513267091203</v>
      </c>
    </row>
    <row r="46" spans="1:19" x14ac:dyDescent="0.15">
      <c r="A46">
        <f t="shared" si="10"/>
        <v>740</v>
      </c>
      <c r="B46">
        <f t="shared" si="0"/>
        <v>4649.5571273128935</v>
      </c>
      <c r="C46" s="5">
        <f>data!O46</f>
        <v>-26.442</v>
      </c>
      <c r="D46" s="5">
        <f>data!B46</f>
        <v>-27.823</v>
      </c>
      <c r="E46" s="5">
        <f>data!G46</f>
        <v>-9.9718000000000007E-9</v>
      </c>
      <c r="F46" s="5">
        <f>data!J46</f>
        <v>6.1784000000000001E-10</v>
      </c>
      <c r="G46" t="str">
        <f t="shared" si="1"/>
        <v>-26.442-27.823i</v>
      </c>
      <c r="H46" t="str">
        <f t="shared" si="2"/>
        <v>-0.0000000099718+0.00000000061784i</v>
      </c>
      <c r="I46" t="str">
        <f t="shared" ca="1" si="11"/>
        <v>1.5931858140901-7.61171185131605i</v>
      </c>
      <c r="J46" t="str">
        <f ca="1">IMSUB(analytical!$D$5*analytical!$I$10,I46)</f>
        <v>-0.4604858140901+7.61171185131605i</v>
      </c>
      <c r="K46" t="str">
        <f ca="1">IMPRODUCT(analytical!$D$5/numerical!B46^2,IMDIV(numerical!G46,numerical!I46))</f>
        <v>1.21978121089993E-07-1.76579471767143E-07i</v>
      </c>
      <c r="L46" t="str">
        <f t="shared" ca="1" si="3"/>
        <v>1.01528500629642E-08+8.55112089276264E-10i</v>
      </c>
      <c r="M46" t="str">
        <f t="shared" ca="1" si="4"/>
        <v>1.11825271027029E-07-1.77434583856419E-07i</v>
      </c>
      <c r="N46" t="str">
        <f t="shared" ca="1" si="5"/>
        <v>0.00082499223400141+0.000519937985917418i</v>
      </c>
      <c r="O46" t="str">
        <f t="shared" si="6"/>
        <v>-0.000002872682375539-0.0000463644537621387i</v>
      </c>
      <c r="P46" t="str">
        <f ca="1">IMSUM(IMPRODUCT(analytical!$D$5,numerical!N46),IMPRODUCT(1-analytical!$D$5,numerical!O46))</f>
        <v>0.000775320339018793+0.000485959839536645i</v>
      </c>
      <c r="Q46" t="str">
        <f t="shared" ca="1" si="7"/>
        <v>926.000431417645-580.403993570037i</v>
      </c>
      <c r="R46">
        <f t="shared" ca="1" si="8"/>
        <v>926.00043141764502</v>
      </c>
      <c r="S46">
        <f t="shared" ca="1" si="9"/>
        <v>-580.40399357003696</v>
      </c>
    </row>
    <row r="47" spans="1:19" x14ac:dyDescent="0.15">
      <c r="A47">
        <f t="shared" si="10"/>
        <v>750</v>
      </c>
      <c r="B47">
        <f t="shared" si="0"/>
        <v>4712.3889803846896</v>
      </c>
      <c r="C47" s="5">
        <f>data!O47</f>
        <v>-26.623999999999999</v>
      </c>
      <c r="D47" s="5">
        <f>data!B47</f>
        <v>-27.963000000000001</v>
      </c>
      <c r="E47" s="5">
        <f>data!G47</f>
        <v>-9.4456999999999993E-9</v>
      </c>
      <c r="F47" s="5">
        <f>data!J47</f>
        <v>7.3707000000000002E-10</v>
      </c>
      <c r="G47" t="str">
        <f t="shared" si="1"/>
        <v>-26.624-27.963i</v>
      </c>
      <c r="H47" t="str">
        <f t="shared" si="2"/>
        <v>-0.0000000094457+0.00000000073707i</v>
      </c>
      <c r="I47" t="str">
        <f t="shared" ca="1" si="11"/>
        <v>1.59317165230369-7.51049332951793i</v>
      </c>
      <c r="J47" t="str">
        <f ca="1">IMSUB(analytical!$D$5*analytical!$I$10,I47)</f>
        <v>-0.46047165230369+7.51049332951793i</v>
      </c>
      <c r="K47" t="str">
        <f ca="1">IMPRODUCT(analytical!$D$5/numerical!B47^2,IMDIV(numerical!G47,numerical!I47))</f>
        <v>1.20355426562761E-07-1.75585512906382E-07i</v>
      </c>
      <c r="L47" t="str">
        <f t="shared" ca="1" si="3"/>
        <v>9.64345869683464E-09+6.75364796316104E-10i</v>
      </c>
      <c r="M47" t="str">
        <f t="shared" ca="1" si="4"/>
        <v>1.10711967865926E-07-1.76260877702698E-07i</v>
      </c>
      <c r="N47" t="str">
        <f t="shared" ca="1" si="5"/>
        <v>0.000830609817759128+0.000521717857368094i</v>
      </c>
      <c r="O47" t="str">
        <f t="shared" si="6"/>
        <v>-3.47336054577214E-06-0.0000445118125920197i</v>
      </c>
      <c r="P47" t="str">
        <f ca="1">IMSUM(IMPRODUCT(analytical!$D$5,numerical!N47),IMPRODUCT(1-analytical!$D$5,numerical!O47))</f>
        <v>0.000780564827060834+0.000487744077170487i</v>
      </c>
      <c r="Q47" t="str">
        <f t="shared" ca="1" si="7"/>
        <v>921.372975735049-575.729518164278i</v>
      </c>
      <c r="R47">
        <f t="shared" ca="1" si="8"/>
        <v>921.37297573504895</v>
      </c>
      <c r="S47">
        <f t="shared" ca="1" si="9"/>
        <v>-575.72951816427803</v>
      </c>
    </row>
    <row r="48" spans="1:19" x14ac:dyDescent="0.15">
      <c r="A48">
        <f t="shared" si="10"/>
        <v>760</v>
      </c>
      <c r="B48">
        <f t="shared" si="0"/>
        <v>4775.2208334564857</v>
      </c>
      <c r="C48" s="5">
        <f>data!O48</f>
        <v>-26.805</v>
      </c>
      <c r="D48" s="5">
        <f>data!B48</f>
        <v>-28.103999999999999</v>
      </c>
      <c r="E48" s="5">
        <f>data!G48</f>
        <v>-8.9517E-9</v>
      </c>
      <c r="F48" s="5">
        <f>data!J48</f>
        <v>8.4531000000000005E-10</v>
      </c>
      <c r="G48" t="str">
        <f t="shared" si="1"/>
        <v>-26.805-28.104i</v>
      </c>
      <c r="H48" t="str">
        <f t="shared" si="2"/>
        <v>-0.0000000089517+0.00000000084531i</v>
      </c>
      <c r="I48" t="str">
        <f t="shared" ca="1" si="11"/>
        <v>1.59315730406863-7.41194199325039i</v>
      </c>
      <c r="J48" t="str">
        <f ca="1">IMSUB(analytical!$D$5*analytical!$I$10,I48)</f>
        <v>-0.46045730406863+7.41194199325039i</v>
      </c>
      <c r="K48" t="str">
        <f ca="1">IMPRODUCT(analytical!$D$5/numerical!B48^2,IMDIV(numerical!G48,numerical!I48))</f>
        <v>1.18774632180097E-07-1.74611807977467E-07i</v>
      </c>
      <c r="L48" t="str">
        <f t="shared" ca="1" si="3"/>
        <v>9.16504338920865E-09+5.09443595927788E-10i</v>
      </c>
      <c r="M48" t="str">
        <f t="shared" ca="1" si="4"/>
        <v>1.09609588790888E-07-1.75121251573395E-07i</v>
      </c>
      <c r="N48" t="str">
        <f t="shared" ca="1" si="5"/>
        <v>0.000836242648894251+0.000523409991940847i</v>
      </c>
      <c r="O48" t="str">
        <f t="shared" si="6"/>
        <v>-4.03654192272911E-06-0.0000427463443348525i</v>
      </c>
      <c r="P48" t="str">
        <f ca="1">IMSUM(IMPRODUCT(analytical!$D$5,numerical!N48),IMPRODUCT(1-analytical!$D$5,numerical!O48))</f>
        <v>0.000785825897445232+0.000489440611764305i</v>
      </c>
      <c r="Q48" t="str">
        <f t="shared" ca="1" si="7"/>
        <v>916.870050436897-571.059620016506i</v>
      </c>
      <c r="R48">
        <f t="shared" ca="1" si="8"/>
        <v>916.87005043689703</v>
      </c>
      <c r="S48">
        <f t="shared" ca="1" si="9"/>
        <v>-571.05962001650596</v>
      </c>
    </row>
    <row r="49" spans="1:19" x14ac:dyDescent="0.15">
      <c r="A49">
        <f t="shared" si="10"/>
        <v>770</v>
      </c>
      <c r="B49">
        <f t="shared" si="0"/>
        <v>4838.0526865282818</v>
      </c>
      <c r="C49" s="5">
        <f>data!O49</f>
        <v>-26.984999999999999</v>
      </c>
      <c r="D49" s="5">
        <f>data!B49</f>
        <v>-28.244</v>
      </c>
      <c r="E49" s="5">
        <f>data!G49</f>
        <v>-8.4867999999999993E-9</v>
      </c>
      <c r="F49" s="5">
        <f>data!J49</f>
        <v>9.4390000000000002E-10</v>
      </c>
      <c r="G49" t="str">
        <f t="shared" si="1"/>
        <v>-26.985-28.244i</v>
      </c>
      <c r="H49" t="str">
        <f t="shared" si="2"/>
        <v>-0.0000000084868+0.0000000009439i</v>
      </c>
      <c r="I49" t="str">
        <f t="shared" ca="1" si="11"/>
        <v>1.59314276952868-7.31595392427858i</v>
      </c>
      <c r="J49" t="str">
        <f ca="1">IMSUB(analytical!$D$5*analytical!$I$10,I49)</f>
        <v>-0.46044276952868+7.31595392427858i</v>
      </c>
      <c r="K49" t="str">
        <f ca="1">IMPRODUCT(analytical!$D$5/numerical!B49^2,IMDIV(numerical!G49,numerical!I49))</f>
        <v>1.17223673328662E-07-1.73655288098796E-07i</v>
      </c>
      <c r="L49" t="str">
        <f t="shared" ca="1" si="3"/>
        <v>8.7147349589755E-09+3.55731935168929E-10i</v>
      </c>
      <c r="M49" t="str">
        <f t="shared" ca="1" si="4"/>
        <v>1.08508938369687E-07-1.74011020033965E-07i</v>
      </c>
      <c r="N49" t="str">
        <f t="shared" ca="1" si="5"/>
        <v>0.000841874482960851+0.000524971960791796i</v>
      </c>
      <c r="O49" t="str">
        <f t="shared" si="6"/>
        <v>-4.56663793081404E-06-0.0000410595855400282i</v>
      </c>
      <c r="P49" t="str">
        <f ca="1">IMSUM(IMPRODUCT(analytical!$D$5,numerical!N49),IMPRODUCT(1-analytical!$D$5,numerical!O49))</f>
        <v>0.000791088015707351+0.000491010068011886i</v>
      </c>
      <c r="Q49" t="str">
        <f t="shared" ca="1" si="7"/>
        <v>912.536456536488-566.390311432881i</v>
      </c>
      <c r="R49">
        <f t="shared" ca="1" si="8"/>
        <v>912.536456536488</v>
      </c>
      <c r="S49">
        <f t="shared" ca="1" si="9"/>
        <v>-566.39031143288105</v>
      </c>
    </row>
    <row r="50" spans="1:19" x14ac:dyDescent="0.15">
      <c r="A50">
        <f t="shared" si="10"/>
        <v>780</v>
      </c>
      <c r="B50">
        <f t="shared" si="0"/>
        <v>4900.884539600077</v>
      </c>
      <c r="C50" s="5">
        <f>data!O50</f>
        <v>-27.164000000000001</v>
      </c>
      <c r="D50" s="5">
        <f>data!B50</f>
        <v>-28.384</v>
      </c>
      <c r="E50" s="5">
        <f>data!G50</f>
        <v>-8.0480000000000003E-9</v>
      </c>
      <c r="F50" s="5">
        <f>data!J50</f>
        <v>1.0339999999999999E-9</v>
      </c>
      <c r="G50" t="str">
        <f t="shared" si="1"/>
        <v>-27.164-28.384i</v>
      </c>
      <c r="H50" t="str">
        <f t="shared" si="2"/>
        <v>-0.000000008048+0.000000001034i</v>
      </c>
      <c r="I50" t="str">
        <f t="shared" ca="1" si="11"/>
        <v>1.59312804882942-7.22243053348424i</v>
      </c>
      <c r="J50" t="str">
        <f ca="1">IMSUB(analytical!$D$5*analytical!$I$10,I50)</f>
        <v>-0.46042804882942+7.22243053348424i</v>
      </c>
      <c r="K50" t="str">
        <f ca="1">IMPRODUCT(analytical!$D$5/numerical!B50^2,IMDIV(numerical!G50,numerical!I50))</f>
        <v>1.15706656102659E-07-1.72716356184631E-07i</v>
      </c>
      <c r="L50" t="str">
        <f t="shared" ca="1" si="3"/>
        <v>8.28964437065191E-09+2.12770005216803E-10i</v>
      </c>
      <c r="M50" t="str">
        <f t="shared" ca="1" si="4"/>
        <v>1.07417011732007E-07-1.72929126189848E-07i</v>
      </c>
      <c r="N50" t="str">
        <f t="shared" ca="1" si="5"/>
        <v>0.000847505680990377+0.000526438372087434i</v>
      </c>
      <c r="O50" t="str">
        <f t="shared" si="6"/>
        <v>-5.06751461394648E-06-0.0000394423187747014i</v>
      </c>
      <c r="P50" t="str">
        <f ca="1">IMSUM(IMPRODUCT(analytical!$D$5,numerical!N50),IMPRODUCT(1-analytical!$D$5,numerical!O50))</f>
        <v>0.000796351289254117+0.000492485530635706i</v>
      </c>
      <c r="Q50" t="str">
        <f t="shared" ca="1" si="7"/>
        <v>908.332962330375-561.738075876248i</v>
      </c>
      <c r="R50">
        <f t="shared" ca="1" si="8"/>
        <v>908.33296233037504</v>
      </c>
      <c r="S50">
        <f t="shared" ca="1" si="9"/>
        <v>-561.73807587624799</v>
      </c>
    </row>
    <row r="51" spans="1:19" x14ac:dyDescent="0.15">
      <c r="A51">
        <f t="shared" si="10"/>
        <v>790</v>
      </c>
      <c r="B51">
        <f t="shared" si="0"/>
        <v>4963.7163926718731</v>
      </c>
      <c r="C51" s="5">
        <f>data!O51</f>
        <v>-27.341999999999999</v>
      </c>
      <c r="D51" s="5">
        <f>data!B51</f>
        <v>-28.523</v>
      </c>
      <c r="E51" s="5">
        <f>data!G51</f>
        <v>-7.6329999999999996E-9</v>
      </c>
      <c r="F51" s="5">
        <f>data!J51</f>
        <v>1.1166000000000001E-9</v>
      </c>
      <c r="G51" t="str">
        <f t="shared" si="1"/>
        <v>-27.342-28.523i</v>
      </c>
      <c r="H51" t="str">
        <f t="shared" si="2"/>
        <v>-0.000000007633+0.0000000011166i</v>
      </c>
      <c r="I51" t="str">
        <f t="shared" ca="1" si="11"/>
        <v>1.59311314211811-7.13127822357997i</v>
      </c>
      <c r="J51" t="str">
        <f ca="1">IMSUB(analytical!$D$5*analytical!$I$10,I51)</f>
        <v>-0.46041314211811+7.13127822357997i</v>
      </c>
      <c r="K51" t="str">
        <f ca="1">IMPRODUCT(analytical!$D$5/numerical!B51^2,IMDIV(numerical!G51,numerical!I51))</f>
        <v>1.14217263004696E-07-1.71793171084776E-07i</v>
      </c>
      <c r="L51" t="str">
        <f t="shared" ca="1" si="3"/>
        <v>7.88756957721184E-09+7.93555711720307E-11i</v>
      </c>
      <c r="M51" t="str">
        <f t="shared" ca="1" si="4"/>
        <v>1.06329693427484E-07-1.71872526655948E-07i</v>
      </c>
      <c r="N51" t="str">
        <f t="shared" ca="1" si="5"/>
        <v>0.000853126478012062+0.000527790442293777i</v>
      </c>
      <c r="O51" t="str">
        <f t="shared" si="6"/>
        <v>-5.54248572405741E-06-0.0000378880472252644i</v>
      </c>
      <c r="P51" t="str">
        <f ca="1">IMSUM(IMPRODUCT(analytical!$D$5,numerical!N51),IMPRODUCT(1-analytical!$D$5,numerical!O51))</f>
        <v>0.000801606340187895+0.000493849732922634i</v>
      </c>
      <c r="Q51" t="str">
        <f t="shared" ca="1" si="7"/>
        <v>904.277783512364-557.103056059631i</v>
      </c>
      <c r="R51">
        <f t="shared" ca="1" si="8"/>
        <v>904.27778351236395</v>
      </c>
      <c r="S51">
        <f t="shared" ca="1" si="9"/>
        <v>-557.10305605963094</v>
      </c>
    </row>
    <row r="52" spans="1:19" x14ac:dyDescent="0.15">
      <c r="A52">
        <f t="shared" si="10"/>
        <v>800</v>
      </c>
      <c r="B52">
        <f t="shared" si="0"/>
        <v>5026.5482457436692</v>
      </c>
      <c r="C52" s="5">
        <f>data!O52</f>
        <v>-27.518999999999998</v>
      </c>
      <c r="D52" s="5">
        <f>data!B52</f>
        <v>-28.663</v>
      </c>
      <c r="E52" s="5">
        <f>data!G52</f>
        <v>-7.2393999999999996E-9</v>
      </c>
      <c r="F52" s="5">
        <f>data!J52</f>
        <v>1.1925E-9</v>
      </c>
      <c r="G52" t="str">
        <f t="shared" si="1"/>
        <v>-27.519-28.663i</v>
      </c>
      <c r="H52" t="str">
        <f t="shared" si="2"/>
        <v>-0.0000000072394+0.0000000011925i</v>
      </c>
      <c r="I52" t="str">
        <f t="shared" ca="1" si="11"/>
        <v>1.59309804954388-7.04240807711993i</v>
      </c>
      <c r="J52" t="str">
        <f ca="1">IMSUB(analytical!$D$5*analytical!$I$10,I52)</f>
        <v>-0.46039804954388+7.04240807711993i</v>
      </c>
      <c r="K52" t="str">
        <f ca="1">IMPRODUCT(analytical!$D$5/numerical!B52^2,IMDIV(numerical!G52,numerical!I52))</f>
        <v>1.12764594612812E-07-1.70887344128622E-07i</v>
      </c>
      <c r="L52" t="str">
        <f t="shared" ca="1" si="3"/>
        <v>7.50618305726497E-09-4.55568106347048E-11i</v>
      </c>
      <c r="M52" t="str">
        <f t="shared" ca="1" si="4"/>
        <v>1.05258411555547E-07-1.70841787317987E-07i</v>
      </c>
      <c r="N52" t="str">
        <f t="shared" ca="1" si="5"/>
        <v>0.000858744486342941+0.0005290864839543i</v>
      </c>
      <c r="O52" t="str">
        <f t="shared" si="6"/>
        <v>-5.99415878304933E-06-0.0000363891933702367i</v>
      </c>
      <c r="P52" t="str">
        <f ca="1">IMSUM(IMPRODUCT(analytical!$D$5,numerical!N52),IMPRODUCT(1-analytical!$D$5,numerical!O52))</f>
        <v>0.000806860167635382+0.000495157943314828i</v>
      </c>
      <c r="Q52" t="str">
        <f t="shared" ca="1" si="7"/>
        <v>900.307876738003-552.505396197948i</v>
      </c>
      <c r="R52">
        <f t="shared" ca="1" si="8"/>
        <v>900.30787673800296</v>
      </c>
      <c r="S52">
        <f t="shared" ca="1" si="9"/>
        <v>-552.50539619794802</v>
      </c>
    </row>
    <row r="53" spans="1:19" x14ac:dyDescent="0.15">
      <c r="A53">
        <f t="shared" si="10"/>
        <v>810</v>
      </c>
      <c r="B53">
        <f t="shared" si="0"/>
        <v>5089.3800988154644</v>
      </c>
      <c r="C53" s="5">
        <f>data!O53</f>
        <v>-27.695</v>
      </c>
      <c r="D53" s="5">
        <f>data!B53</f>
        <v>-28.800999999999998</v>
      </c>
      <c r="E53" s="5">
        <f>data!G53</f>
        <v>-6.8653000000000003E-9</v>
      </c>
      <c r="F53" s="5">
        <f>data!J53</f>
        <v>1.2624999999999999E-9</v>
      </c>
      <c r="G53" t="str">
        <f t="shared" si="1"/>
        <v>-27.695-28.801i</v>
      </c>
      <c r="H53" t="str">
        <f t="shared" si="2"/>
        <v>-0.0000000068653+0.0000000012625i</v>
      </c>
      <c r="I53" t="str">
        <f t="shared" ca="1" si="11"/>
        <v>1.59308277125758-6.95573556762078i</v>
      </c>
      <c r="J53" t="str">
        <f ca="1">IMSUB(analytical!$D$5*analytical!$I$10,I53)</f>
        <v>-0.46038277125758+6.95573556762078i</v>
      </c>
      <c r="K53" t="str">
        <f ca="1">IMPRODUCT(analytical!$D$5/numerical!B53^2,IMDIV(numerical!G53,numerical!I53))</f>
        <v>1.11332465887675E-07-1.69994831633665E-07i</v>
      </c>
      <c r="L53" t="str">
        <f t="shared" ca="1" si="3"/>
        <v>7.1436669686233E-09-1.62951306809137E-10i</v>
      </c>
      <c r="M53" t="str">
        <f t="shared" ca="1" si="4"/>
        <v>1.04188798919052E-07-1.69831880326856E-07i</v>
      </c>
      <c r="N53" t="str">
        <f t="shared" ca="1" si="5"/>
        <v>0.00086433899187991+0.000530256399738109i</v>
      </c>
      <c r="O53" t="str">
        <f t="shared" si="6"/>
        <v>-6.42534237475452E-06-0.0000349401211923978i</v>
      </c>
      <c r="P53" t="str">
        <f ca="1">IMSUM(IMPRODUCT(analytical!$D$5,numerical!N53),IMPRODUCT(1-analytical!$D$5,numerical!O53))</f>
        <v>0.00081209313182463+0.000496344608482278i</v>
      </c>
      <c r="Q53" t="str">
        <f t="shared" ca="1" si="7"/>
        <v>896.495270203985-547.930497695308i</v>
      </c>
      <c r="R53">
        <f t="shared" ca="1" si="8"/>
        <v>896.495270203985</v>
      </c>
      <c r="S53">
        <f t="shared" ca="1" si="9"/>
        <v>-547.93049769530796</v>
      </c>
    </row>
    <row r="54" spans="1:19" x14ac:dyDescent="0.15">
      <c r="A54">
        <f t="shared" si="10"/>
        <v>820</v>
      </c>
      <c r="B54">
        <f t="shared" si="0"/>
        <v>5152.2119518872605</v>
      </c>
      <c r="C54" s="5">
        <f>data!O54</f>
        <v>-27.87</v>
      </c>
      <c r="D54" s="5">
        <f>data!B54</f>
        <v>-28.94</v>
      </c>
      <c r="E54" s="5">
        <f>data!G54</f>
        <v>-6.5087999999999997E-9</v>
      </c>
      <c r="F54" s="5">
        <f>data!J54</f>
        <v>1.3271999999999999E-9</v>
      </c>
      <c r="G54" t="str">
        <f t="shared" si="1"/>
        <v>-27.87-28.94i</v>
      </c>
      <c r="H54" t="str">
        <f t="shared" si="2"/>
        <v>-0.0000000065088+0.0000000013272i</v>
      </c>
      <c r="I54" t="str">
        <f t="shared" ca="1" si="11"/>
        <v>1.59306730741181-6.87118029181989i</v>
      </c>
      <c r="J54" t="str">
        <f ca="1">IMSUB(analytical!$D$5*analytical!$I$10,I54)</f>
        <v>-0.46036730741181+6.87118029181989i</v>
      </c>
      <c r="K54" t="str">
        <f ca="1">IMPRODUCT(analytical!$D$5/numerical!B54^2,IMDIV(numerical!G54,numerical!I54))</f>
        <v>1.09934899952174E-07-1.6911844287472E-07i</v>
      </c>
      <c r="L54" t="str">
        <f t="shared" ca="1" si="3"/>
        <v>6.79817540669097E-09-2.73625726623875E-10i</v>
      </c>
      <c r="M54" t="str">
        <f t="shared" ca="1" si="4"/>
        <v>1.03136724545483E-07-1.68844817148096E-07i</v>
      </c>
      <c r="N54" t="str">
        <f t="shared" ca="1" si="5"/>
        <v>0.000869924284924639+0.000531382264881742i</v>
      </c>
      <c r="O54" t="str">
        <f t="shared" si="6"/>
        <v>-6.83801570254477E-06-0.0000335347171524438i</v>
      </c>
      <c r="P54" t="str">
        <f ca="1">IMSUM(IMPRODUCT(analytical!$D$5,numerical!N54),IMPRODUCT(1-analytical!$D$5,numerical!O54))</f>
        <v>0.000817318546887008+0.000497487245959691i</v>
      </c>
      <c r="Q54" t="str">
        <f t="shared" ca="1" si="7"/>
        <v>892.753380182032-543.403085760838i</v>
      </c>
      <c r="R54">
        <f t="shared" ca="1" si="8"/>
        <v>892.75338018203195</v>
      </c>
      <c r="S54">
        <f t="shared" ca="1" si="9"/>
        <v>-543.40308576083805</v>
      </c>
    </row>
    <row r="55" spans="1:19" x14ac:dyDescent="0.15">
      <c r="A55">
        <f t="shared" si="10"/>
        <v>830</v>
      </c>
      <c r="B55">
        <f t="shared" si="0"/>
        <v>5215.0438049590566</v>
      </c>
      <c r="C55" s="5">
        <f>data!O55</f>
        <v>-28.044</v>
      </c>
      <c r="D55" s="5">
        <f>data!B55</f>
        <v>-29.077000000000002</v>
      </c>
      <c r="E55" s="5">
        <f>data!G55</f>
        <v>-6.1684999999999999E-9</v>
      </c>
      <c r="F55" s="5">
        <f>data!J55</f>
        <v>1.3871000000000001E-9</v>
      </c>
      <c r="G55" t="str">
        <f t="shared" si="1"/>
        <v>-28.044-29.077i</v>
      </c>
      <c r="H55" t="str">
        <f t="shared" si="2"/>
        <v>-0.0000000061685+0.0000000013871i</v>
      </c>
      <c r="I55" t="str">
        <f t="shared" ca="1" si="11"/>
        <v>1.59305165816094-6.78866572128891i</v>
      </c>
      <c r="J55" t="str">
        <f ca="1">IMSUB(analytical!$D$5*analytical!$I$10,I55)</f>
        <v>-0.46035165816094+6.78866572128891i</v>
      </c>
      <c r="K55" t="str">
        <f ca="1">IMPRODUCT(analytical!$D$5/numerical!B55^2,IMDIV(numerical!G55,numerical!I55))</f>
        <v>1.08556217147586E-07-1.68254204627545E-07i</v>
      </c>
      <c r="L55" t="str">
        <f t="shared" ca="1" si="3"/>
        <v>6.46835460150896E-09-3.78209347819272E-10i</v>
      </c>
      <c r="M55" t="str">
        <f t="shared" ca="1" si="4"/>
        <v>1.02087862546077E-07-1.67875995279726E-07i</v>
      </c>
      <c r="N55" t="str">
        <f t="shared" ca="1" si="5"/>
        <v>0.000875480669184872+0.000532392675132431i</v>
      </c>
      <c r="O55" t="str">
        <f t="shared" si="6"/>
        <v>-7.23378726185871E-06-0.00003216899771089i</v>
      </c>
      <c r="P55" t="str">
        <f ca="1">IMSUM(IMPRODUCT(analytical!$D$5,numerical!N55),IMPRODUCT(1-analytical!$D$5,numerical!O55))</f>
        <v>0.000822517801798069+0.000498518974761832i</v>
      </c>
      <c r="Q55" t="str">
        <f t="shared" ca="1" si="7"/>
        <v>889.153929267038-538.906397228932i</v>
      </c>
      <c r="R55">
        <f t="shared" ca="1" si="8"/>
        <v>889.15392926703805</v>
      </c>
      <c r="S55">
        <f t="shared" ca="1" si="9"/>
        <v>-538.90639722893195</v>
      </c>
    </row>
    <row r="56" spans="1:19" x14ac:dyDescent="0.15">
      <c r="A56">
        <f t="shared" si="10"/>
        <v>840</v>
      </c>
      <c r="B56">
        <f t="shared" si="0"/>
        <v>5277.8756580308527</v>
      </c>
      <c r="C56" s="5">
        <f>data!O56</f>
        <v>-28.216999999999999</v>
      </c>
      <c r="D56" s="5">
        <f>data!B56</f>
        <v>-29.213999999999999</v>
      </c>
      <c r="E56" s="5">
        <f>data!G56</f>
        <v>-5.8427999999999997E-9</v>
      </c>
      <c r="F56" s="5">
        <f>data!J56</f>
        <v>1.4428E-9</v>
      </c>
      <c r="G56" t="str">
        <f t="shared" si="1"/>
        <v>-28.217-29.214i</v>
      </c>
      <c r="H56" t="str">
        <f t="shared" si="2"/>
        <v>-0.0000000058428+0.0000000014428i</v>
      </c>
      <c r="I56" t="str">
        <f t="shared" ca="1" si="11"/>
        <v>1.59303582366108-6.70811897178885i</v>
      </c>
      <c r="J56" t="str">
        <f ca="1">IMSUB(analytical!$D$5*analytical!$I$10,I56)</f>
        <v>-0.46033582366108+6.70811897178885i</v>
      </c>
      <c r="K56" t="str">
        <f ca="1">IMPRODUCT(analytical!$D$5/numerical!B56^2,IMDIV(numerical!G56,numerical!I56))</f>
        <v>1.07205368164823E-07-1.67403844188646E-07i</v>
      </c>
      <c r="L56" t="str">
        <f t="shared" ca="1" si="3"/>
        <v>6.15266808075701E-09-4.77477797300358E-10i</v>
      </c>
      <c r="M56" t="str">
        <f t="shared" ca="1" si="4"/>
        <v>1.01052700084066E-07-1.66926366391346E-07i</v>
      </c>
      <c r="N56" t="str">
        <f t="shared" ca="1" si="5"/>
        <v>0.000881016605860424+0.000533343585951984i</v>
      </c>
      <c r="O56" t="str">
        <f t="shared" si="6"/>
        <v>-7.61491899940691E-06-0.0000308375718947426i</v>
      </c>
      <c r="P56" t="str">
        <f ca="1">IMSUM(IMPRODUCT(analytical!$D$5,numerical!N56),IMPRODUCT(1-analytical!$D$5,numerical!O56))</f>
        <v>0.000827698714368834+0.00049949271648118i</v>
      </c>
      <c r="Q56" t="str">
        <f t="shared" ca="1" si="7"/>
        <v>885.638859773058-534.457952162788i</v>
      </c>
      <c r="R56">
        <f t="shared" ca="1" si="8"/>
        <v>885.63885977305802</v>
      </c>
      <c r="S56">
        <f t="shared" ca="1" si="9"/>
        <v>-534.45795216278805</v>
      </c>
    </row>
    <row r="57" spans="1:19" x14ac:dyDescent="0.15">
      <c r="A57">
        <f t="shared" si="10"/>
        <v>850</v>
      </c>
      <c r="B57">
        <f t="shared" si="0"/>
        <v>5340.7075111026479</v>
      </c>
      <c r="C57" s="5">
        <f>data!O57</f>
        <v>-28.388000000000002</v>
      </c>
      <c r="D57" s="5">
        <f>data!B57</f>
        <v>-29.350999999999999</v>
      </c>
      <c r="E57" s="5">
        <f>data!G57</f>
        <v>-5.5305000000000003E-9</v>
      </c>
      <c r="F57" s="5">
        <f>data!J57</f>
        <v>1.4945E-9</v>
      </c>
      <c r="G57" t="str">
        <f t="shared" si="1"/>
        <v>-28.388-29.351i</v>
      </c>
      <c r="H57" t="str">
        <f t="shared" si="2"/>
        <v>-0.0000000055305+0.0000000014945i</v>
      </c>
      <c r="I57" t="str">
        <f t="shared" ca="1" si="11"/>
        <v>1.59301980407008-6.62947058890594i</v>
      </c>
      <c r="J57" t="str">
        <f ca="1">IMSUB(analytical!$D$5*analytical!$I$10,I57)</f>
        <v>-0.46031980407008+6.62947058890594i</v>
      </c>
      <c r="K57" t="str">
        <f ca="1">IMPRODUCT(analytical!$D$5/numerical!B57^2,IMDIV(numerical!G57,numerical!I57))</f>
        <v>1.05882563770914E-07-1.66562144702024E-07i</v>
      </c>
      <c r="L57" t="str">
        <f t="shared" ca="1" si="3"/>
        <v>5.84991940018703E-09-5.71747241351845E-10i</v>
      </c>
      <c r="M57" t="str">
        <f t="shared" ca="1" si="4"/>
        <v>1.00032644370727E-07-1.65990397460672E-07i</v>
      </c>
      <c r="N57" t="str">
        <f t="shared" ca="1" si="5"/>
        <v>0.000886506162489125+0.000534245095146202i</v>
      </c>
      <c r="O57" t="str">
        <f t="shared" si="6"/>
        <v>-7.98168737534291E-06-0.0000295367828901532i</v>
      </c>
      <c r="P57" t="str">
        <f ca="1">IMSUM(IMPRODUCT(analytical!$D$5,numerical!N57),IMPRODUCT(1-analytical!$D$5,numerical!O57))</f>
        <v>0.000832836891497257+0.000500418182464021i</v>
      </c>
      <c r="Q57" t="str">
        <f t="shared" ca="1" si="7"/>
        <v>882.209157832151-530.083991022309i</v>
      </c>
      <c r="R57">
        <f t="shared" ca="1" si="8"/>
        <v>882.20915783215105</v>
      </c>
      <c r="S57">
        <f t="shared" ca="1" si="9"/>
        <v>-530.08399102230896</v>
      </c>
    </row>
    <row r="58" spans="1:19" x14ac:dyDescent="0.15">
      <c r="A58">
        <f t="shared" si="10"/>
        <v>860</v>
      </c>
      <c r="B58">
        <f t="shared" si="0"/>
        <v>5403.539364174444</v>
      </c>
      <c r="C58" s="5">
        <f>data!O58</f>
        <v>-28.559000000000001</v>
      </c>
      <c r="D58" s="5">
        <f>data!B58</f>
        <v>-29.486000000000001</v>
      </c>
      <c r="E58" s="5">
        <f>data!G58</f>
        <v>-5.2303E-9</v>
      </c>
      <c r="F58" s="5">
        <f>data!J58</f>
        <v>1.5428000000000001E-9</v>
      </c>
      <c r="G58" t="str">
        <f t="shared" si="1"/>
        <v>-28.559-29.486i</v>
      </c>
      <c r="H58" t="str">
        <f t="shared" si="2"/>
        <v>-0.0000000052303+0.0000000015428i</v>
      </c>
      <c r="I58" t="str">
        <f t="shared" ca="1" si="11"/>
        <v>1.59300359954753-6.55265434864324i</v>
      </c>
      <c r="J58" t="str">
        <f ca="1">IMSUB(analytical!$D$5*analytical!$I$10,I58)</f>
        <v>-0.46030359954753+6.55265434864324i</v>
      </c>
      <c r="K58" t="str">
        <f ca="1">IMPRODUCT(analytical!$D$5/numerical!B58^2,IMDIV(numerical!G58,numerical!I58))</f>
        <v>1.04575390255135E-07-1.65735818588077E-07i</v>
      </c>
      <c r="L58" t="str">
        <f t="shared" ca="1" si="3"/>
        <v>5.55888026197658E-09-6.6176556334194E-10i</v>
      </c>
      <c r="M58" t="str">
        <f t="shared" ca="1" si="4"/>
        <v>9.90165099931584E-08-1.65074053024735E-07i</v>
      </c>
      <c r="N58" t="str">
        <f t="shared" ca="1" si="5"/>
        <v>0.000891984143522974+0.000535039609451203i</v>
      </c>
      <c r="O58" t="str">
        <f t="shared" si="6"/>
        <v>-8.33658053104833E-06-0.0000282621319364416i</v>
      </c>
      <c r="P58" t="str">
        <f ca="1">IMSUM(IMPRODUCT(analytical!$D$5,numerical!N58),IMPRODUCT(1-analytical!$D$5,numerical!O58))</f>
        <v>0.000837964900079732+0.000501241504967944i</v>
      </c>
      <c r="Q58" t="str">
        <f t="shared" ca="1" si="7"/>
        <v>878.896682982409-525.725476147652i</v>
      </c>
      <c r="R58">
        <f t="shared" ca="1" si="8"/>
        <v>878.89668298240895</v>
      </c>
      <c r="S58">
        <f t="shared" ca="1" si="9"/>
        <v>-525.72547614765199</v>
      </c>
    </row>
    <row r="59" spans="1:19" x14ac:dyDescent="0.15">
      <c r="A59">
        <f t="shared" si="10"/>
        <v>870</v>
      </c>
      <c r="B59">
        <f t="shared" si="0"/>
        <v>5466.3712172462401</v>
      </c>
      <c r="C59" s="5">
        <f>data!O59</f>
        <v>-28.728000000000002</v>
      </c>
      <c r="D59" s="5">
        <f>data!B59</f>
        <v>-29.620999999999999</v>
      </c>
      <c r="E59" s="5">
        <f>data!G59</f>
        <v>-4.9412000000000003E-9</v>
      </c>
      <c r="F59" s="5">
        <f>data!J59</f>
        <v>1.5878E-9</v>
      </c>
      <c r="G59" t="str">
        <f t="shared" si="1"/>
        <v>-28.728-29.621i</v>
      </c>
      <c r="H59" t="str">
        <f t="shared" si="2"/>
        <v>-0.0000000049412+0.0000000015878i</v>
      </c>
      <c r="I59" t="str">
        <f t="shared" ca="1" si="11"/>
        <v>1.59298721025476-6.47760707176469i</v>
      </c>
      <c r="J59" t="str">
        <f ca="1">IMSUB(analytical!$D$5*analytical!$I$10,I59)</f>
        <v>-0.46028721025476+6.47760707176469i</v>
      </c>
      <c r="K59" t="str">
        <f ca="1">IMPRODUCT(analytical!$D$5/numerical!B59^2,IMDIV(numerical!G59,numerical!I59))</f>
        <v>1.03294785011935E-07-1.64917317399461E-07i</v>
      </c>
      <c r="L59" t="str">
        <f t="shared" ca="1" si="3"/>
        <v>5.27854263998912E-09-7.47733185657557E-10i</v>
      </c>
      <c r="M59" t="str">
        <f t="shared" ca="1" si="4"/>
        <v>9.80162423719459E-08-1.64169584213803E-07i</v>
      </c>
      <c r="N59" t="str">
        <f t="shared" ca="1" si="5"/>
        <v>0.000897411889893615+0.000535793166124636i</v>
      </c>
      <c r="O59" t="str">
        <f t="shared" si="6"/>
        <v>-8.67950421874358E-06-0.0000270104334586571i</v>
      </c>
      <c r="P59" t="str">
        <f ca="1">IMSUM(IMPRODUCT(analytical!$D$5,numerical!N59),IMPRODUCT(1-analytical!$D$5,numerical!O59))</f>
        <v>0.000843046406246873+0.000502024950149639i</v>
      </c>
      <c r="Q59" t="str">
        <f t="shared" ca="1" si="7"/>
        <v>875.659200360312-521.445513736319i</v>
      </c>
      <c r="R59">
        <f t="shared" ca="1" si="8"/>
        <v>875.65920036031196</v>
      </c>
      <c r="S59">
        <f t="shared" ca="1" si="9"/>
        <v>-521.44551373631896</v>
      </c>
    </row>
    <row r="60" spans="1:19" x14ac:dyDescent="0.15">
      <c r="A60">
        <f t="shared" si="10"/>
        <v>880</v>
      </c>
      <c r="B60">
        <f t="shared" si="0"/>
        <v>5529.2030703180362</v>
      </c>
      <c r="C60" s="5">
        <f>data!O60</f>
        <v>-28.896999999999998</v>
      </c>
      <c r="D60" s="5">
        <f>data!B60</f>
        <v>-29.754999999999999</v>
      </c>
      <c r="E60" s="5">
        <f>data!G60</f>
        <v>-4.6621000000000003E-9</v>
      </c>
      <c r="F60" s="5">
        <f>data!J60</f>
        <v>1.6298999999999999E-9</v>
      </c>
      <c r="G60" t="str">
        <f t="shared" si="1"/>
        <v>-28.897-29.755i</v>
      </c>
      <c r="H60" t="str">
        <f t="shared" si="2"/>
        <v>-0.0000000046621+0.0000000016299i</v>
      </c>
      <c r="I60" t="str">
        <f t="shared" ca="1" si="11"/>
        <v>1.59297063635483-6.40426845079748i</v>
      </c>
      <c r="J60" t="str">
        <f ca="1">IMSUB(analytical!$D$5*analytical!$I$10,I60)</f>
        <v>-0.46027063635483+6.40426845079748i</v>
      </c>
      <c r="K60" t="str">
        <f ca="1">IMPRODUCT(analytical!$D$5/numerical!B60^2,IMDIV(numerical!G60,numerical!I60))</f>
        <v>1.02033167742036E-07-1.64114286872869E-07i</v>
      </c>
      <c r="L60" t="str">
        <f t="shared" ca="1" si="3"/>
        <v>5.00784993548238E-09-8.30179912292229E-10i</v>
      </c>
      <c r="M60" t="str">
        <f t="shared" ca="1" si="4"/>
        <v>9.70253178065536E-08-1.63284106960577E-07i</v>
      </c>
      <c r="N60" t="str">
        <f t="shared" ca="1" si="5"/>
        <v>0.000902830985540562+0.00053647268511458i</v>
      </c>
      <c r="O60" t="str">
        <f t="shared" si="6"/>
        <v>-9.01204808431137E-06-0.0000257776976341297i</v>
      </c>
      <c r="P60" t="str">
        <f ca="1">IMSUM(IMPRODUCT(analytical!$D$5,numerical!N60),IMPRODUCT(1-analytical!$D$5,numerical!O60))</f>
        <v>0.000848120403523069+0.000502737662149657i</v>
      </c>
      <c r="Q60" t="str">
        <f t="shared" ca="1" si="7"/>
        <v>872.503943326413-517.191416292046i</v>
      </c>
      <c r="R60">
        <f t="shared" ca="1" si="8"/>
        <v>872.50394332641304</v>
      </c>
      <c r="S60">
        <f t="shared" ca="1" si="9"/>
        <v>-517.19141629204603</v>
      </c>
    </row>
    <row r="61" spans="1:19" x14ac:dyDescent="0.15">
      <c r="A61">
        <f t="shared" si="10"/>
        <v>890</v>
      </c>
      <c r="B61">
        <f t="shared" si="0"/>
        <v>5592.0349233898314</v>
      </c>
      <c r="C61" s="5">
        <f>data!O61</f>
        <v>-29.064</v>
      </c>
      <c r="D61" s="5">
        <f>data!B61</f>
        <v>-29.888000000000002</v>
      </c>
      <c r="E61" s="5">
        <f>data!G61</f>
        <v>-4.3921000000000002E-9</v>
      </c>
      <c r="F61" s="5">
        <f>data!J61</f>
        <v>1.6694E-9</v>
      </c>
      <c r="G61" t="str">
        <f t="shared" si="1"/>
        <v>-29.064-29.888i</v>
      </c>
      <c r="H61" t="str">
        <f t="shared" si="2"/>
        <v>-0.0000000043921+0.0000000016694i</v>
      </c>
      <c r="I61" t="str">
        <f t="shared" ca="1" si="11"/>
        <v>1.59295387801251-6.33258088869662i</v>
      </c>
      <c r="J61" t="str">
        <f ca="1">IMSUB(analytical!$D$5*analytical!$I$10,I61)</f>
        <v>-0.46025387801251+6.33258088869662i</v>
      </c>
      <c r="K61" t="str">
        <f ca="1">IMPRODUCT(analytical!$D$5/numerical!B61^2,IMDIV(numerical!G61,numerical!I61))</f>
        <v>1.0079219115232E-07-1.63317202644104E-07i</v>
      </c>
      <c r="L61" t="str">
        <f t="shared" ca="1" si="3"/>
        <v>4.74593246692702E-09-9.09507787092075E-10i</v>
      </c>
      <c r="M61" t="str">
        <f t="shared" ca="1" si="4"/>
        <v>9.6046258685393E-08-1.62407694857012E-07i</v>
      </c>
      <c r="N61" t="str">
        <f t="shared" ca="1" si="5"/>
        <v>0.00090818950146765+0.000537094032829651i</v>
      </c>
      <c r="O61" t="str">
        <f t="shared" si="6"/>
        <v>-9.33534310110698E-06-0.0000245607765870205i</v>
      </c>
      <c r="P61" t="str">
        <f ca="1">IMSUM(IMPRODUCT(analytical!$D$5,numerical!N61),IMPRODUCT(1-analytical!$D$5,numerical!O61))</f>
        <v>0.000853138010793525+0.000503394744264651i</v>
      </c>
      <c r="Q61" t="str">
        <f t="shared" ca="1" si="7"/>
        <v>869.439360624567-513.013368362449i</v>
      </c>
      <c r="R61">
        <f t="shared" ca="1" si="8"/>
        <v>869.43936062456703</v>
      </c>
      <c r="S61">
        <f t="shared" ca="1" si="9"/>
        <v>-513.013368362449</v>
      </c>
    </row>
    <row r="62" spans="1:19" x14ac:dyDescent="0.15">
      <c r="A62">
        <f t="shared" si="10"/>
        <v>900</v>
      </c>
      <c r="B62">
        <f t="shared" si="0"/>
        <v>5654.8667764616275</v>
      </c>
      <c r="C62" s="5">
        <f>data!O62</f>
        <v>-29.23</v>
      </c>
      <c r="D62" s="5">
        <f>data!B62</f>
        <v>-30.02</v>
      </c>
      <c r="E62" s="5">
        <f>data!G62</f>
        <v>-4.1303999999999997E-9</v>
      </c>
      <c r="F62" s="5">
        <f>data!J62</f>
        <v>1.7064E-9</v>
      </c>
      <c r="G62" t="str">
        <f t="shared" si="1"/>
        <v>-29.23-30.02i</v>
      </c>
      <c r="H62" t="str">
        <f t="shared" si="2"/>
        <v>-0.0000000041304+0.0000000017064i</v>
      </c>
      <c r="I62" t="str">
        <f t="shared" ca="1" si="11"/>
        <v>1.59293693539429-6.26248934826621i</v>
      </c>
      <c r="J62" t="str">
        <f ca="1">IMSUB(analytical!$D$5*analytical!$I$10,I62)</f>
        <v>-0.46023693539429+6.26248934826621i</v>
      </c>
      <c r="K62" t="str">
        <f ca="1">IMPRODUCT(analytical!$D$5/numerical!B62^2,IMDIV(numerical!G62,numerical!I62))</f>
        <v>9.95701579090209E-08-1.6253023915089E-07i</v>
      </c>
      <c r="L62" t="str">
        <f t="shared" ca="1" si="3"/>
        <v>4.49198742405188E-09-9.859056500453E-10i</v>
      </c>
      <c r="M62" t="str">
        <f t="shared" ca="1" si="4"/>
        <v>9.5078170484969E-08-1.61544333500845E-07i</v>
      </c>
      <c r="N62" t="str">
        <f t="shared" ca="1" si="5"/>
        <v>0.000913511684439566+0.000537654387442206i</v>
      </c>
      <c r="O62" t="str">
        <f t="shared" si="6"/>
        <v>-9.64946466735413E-06-0.0000233568617334971i</v>
      </c>
      <c r="P62" t="str">
        <f ca="1">IMSUM(IMPRODUCT(analytical!$D$5,numerical!N62),IMPRODUCT(1-analytical!$D$5,numerical!O62))</f>
        <v>0.000858122015493151+0.000503993712491664i</v>
      </c>
      <c r="Q62" t="str">
        <f t="shared" ca="1" si="7"/>
        <v>866.454661708811-508.887656738854i</v>
      </c>
      <c r="R62">
        <f t="shared" ca="1" si="8"/>
        <v>866.45466170881105</v>
      </c>
      <c r="S62">
        <f t="shared" ca="1" si="9"/>
        <v>-508.88765673885399</v>
      </c>
    </row>
    <row r="63" spans="1:19" x14ac:dyDescent="0.15">
      <c r="A63">
        <f t="shared" si="10"/>
        <v>910</v>
      </c>
      <c r="B63">
        <f t="shared" si="0"/>
        <v>5717.6986295334236</v>
      </c>
      <c r="C63" s="5">
        <f>data!O63</f>
        <v>-29.395</v>
      </c>
      <c r="D63" s="5">
        <f>data!B63</f>
        <v>-30.151</v>
      </c>
      <c r="E63" s="5">
        <f>data!G63</f>
        <v>-3.8762000000000003E-9</v>
      </c>
      <c r="F63" s="5">
        <f>data!J63</f>
        <v>1.7410999999999999E-9</v>
      </c>
      <c r="G63" t="str">
        <f t="shared" si="1"/>
        <v>-29.395-30.151i</v>
      </c>
      <c r="H63" t="str">
        <f t="shared" si="2"/>
        <v>-0.0000000038762+0.0000000017411i</v>
      </c>
      <c r="I63" t="str">
        <f t="shared" ca="1" si="11"/>
        <v>1.59291980866837-6.19394121150822i</v>
      </c>
      <c r="J63" t="str">
        <f ca="1">IMSUB(analytical!$D$5*analytical!$I$10,I63)</f>
        <v>-0.46021980866837+6.19394121150822i</v>
      </c>
      <c r="K63" t="str">
        <f ca="1">IMPRODUCT(analytical!$D$5/numerical!B63^2,IMDIV(numerical!G63,numerical!I63))</f>
        <v>9.83665223268885E-08-1.61753010196971E-07i</v>
      </c>
      <c r="L63" t="str">
        <f t="shared" ca="1" si="3"/>
        <v>4.24523022304119E-09-1.05967010306829E-09i</v>
      </c>
      <c r="M63" t="str">
        <f t="shared" ca="1" si="4"/>
        <v>9.41212921038473E-08-1.60693340093903E-07i</v>
      </c>
      <c r="N63" t="str">
        <f t="shared" ca="1" si="5"/>
        <v>0.000918796090430057+0.000538157182872082i</v>
      </c>
      <c r="O63" t="str">
        <f t="shared" si="6"/>
        <v>-9.95508508388064E-06-0.0000221629434277974i</v>
      </c>
      <c r="P63" t="str">
        <f ca="1">IMSUM(IMPRODUCT(analytical!$D$5,numerical!N63),IMPRODUCT(1-analytical!$D$5,numerical!O63))</f>
        <v>0.000863071019899221+0.000504537975294089i</v>
      </c>
      <c r="Q63" t="str">
        <f t="shared" ca="1" si="7"/>
        <v>863.54583720675-504.815546151472i</v>
      </c>
      <c r="R63">
        <f t="shared" ca="1" si="8"/>
        <v>863.54583720674998</v>
      </c>
      <c r="S63">
        <f t="shared" ca="1" si="9"/>
        <v>-504.81554615147201</v>
      </c>
    </row>
    <row r="64" spans="1:19" x14ac:dyDescent="0.15">
      <c r="A64">
        <f t="shared" si="10"/>
        <v>920</v>
      </c>
      <c r="B64">
        <f t="shared" si="0"/>
        <v>5780.5304826052197</v>
      </c>
      <c r="C64" s="5">
        <f>data!O64</f>
        <v>-29.558</v>
      </c>
      <c r="D64" s="5">
        <f>data!B64</f>
        <v>-30.280999999999999</v>
      </c>
      <c r="E64" s="5">
        <f>data!G64</f>
        <v>-3.6286000000000001E-9</v>
      </c>
      <c r="F64" s="5">
        <f>data!J64</f>
        <v>1.7736E-9</v>
      </c>
      <c r="G64" t="str">
        <f t="shared" si="1"/>
        <v>-29.558-30.281i</v>
      </c>
      <c r="H64" t="str">
        <f t="shared" si="2"/>
        <v>-0.0000000036286+0.0000000017736i</v>
      </c>
      <c r="I64" t="str">
        <f t="shared" ca="1" si="11"/>
        <v>1.59290249800466-6.1268861481443i</v>
      </c>
      <c r="J64" t="str">
        <f ca="1">IMSUB(analytical!$D$5*analytical!$I$10,I64)</f>
        <v>-0.46020249800466+6.1268861481443i</v>
      </c>
      <c r="K64" t="str">
        <f ca="1">IMPRODUCT(analytical!$D$5/numerical!B64^2,IMDIV(numerical!G64,numerical!I64))</f>
        <v>9.71818809226155E-08-1.60980846603048E-07i</v>
      </c>
      <c r="L64" t="str">
        <f t="shared" ca="1" si="3"/>
        <v>4.00475731682017E-09-1.13102127600183E-09i</v>
      </c>
      <c r="M64" t="str">
        <f t="shared" ca="1" si="4"/>
        <v>9.31771236057953E-08-1.59849825327046E-07i</v>
      </c>
      <c r="N64" t="str">
        <f t="shared" ca="1" si="5"/>
        <v>0.000924016787942109+0.000538613203284774i</v>
      </c>
      <c r="O64" t="str">
        <f t="shared" si="6"/>
        <v>-0.0000102523488639486-0.0000209752329091813i</v>
      </c>
      <c r="P64" t="str">
        <f ca="1">IMSUM(IMPRODUCT(analytical!$D$5,numerical!N64),IMPRODUCT(1-analytical!$D$5,numerical!O64))</f>
        <v>0.000867960639733745+0.000505037897113136i</v>
      </c>
      <c r="Q64" t="str">
        <f t="shared" ca="1" si="7"/>
        <v>860.714329135894-500.821506071153i</v>
      </c>
      <c r="R64">
        <f t="shared" ca="1" si="8"/>
        <v>860.71432913589399</v>
      </c>
      <c r="S64">
        <f t="shared" ca="1" si="9"/>
        <v>-500.82150607115301</v>
      </c>
    </row>
    <row r="65" spans="1:19" x14ac:dyDescent="0.15">
      <c r="A65">
        <f t="shared" si="10"/>
        <v>930</v>
      </c>
      <c r="B65">
        <f t="shared" si="0"/>
        <v>5843.3623356770149</v>
      </c>
      <c r="C65" s="5">
        <f>data!O65</f>
        <v>-29.721</v>
      </c>
      <c r="D65" s="5">
        <f>data!B65</f>
        <v>-30.41</v>
      </c>
      <c r="E65" s="5">
        <f>data!G65</f>
        <v>-3.3871E-9</v>
      </c>
      <c r="F65" s="5">
        <f>data!J65</f>
        <v>1.8042E-9</v>
      </c>
      <c r="G65" t="str">
        <f t="shared" si="1"/>
        <v>-29.721-30.41i</v>
      </c>
      <c r="H65" t="str">
        <f t="shared" si="2"/>
        <v>-0.0000000033871+0.0000000018042i</v>
      </c>
      <c r="I65" t="str">
        <f t="shared" ca="1" si="11"/>
        <v>1.59288500357478-6.06127599262025i</v>
      </c>
      <c r="J65" t="str">
        <f ca="1">IMSUB(analytical!$D$5*analytical!$I$10,I65)</f>
        <v>-0.46018500357478+6.06127599262025i</v>
      </c>
      <c r="K65" t="str">
        <f ca="1">IMPRODUCT(analytical!$D$5/numerical!B65^2,IMDIV(numerical!G65,numerical!I65))</f>
        <v>9.60134968940409E-08-1.60222050650047E-07i</v>
      </c>
      <c r="L65" t="str">
        <f t="shared" ca="1" si="3"/>
        <v>3.7701078300477E-09-1.20031499050417E-09i</v>
      </c>
      <c r="M65" t="str">
        <f t="shared" ca="1" si="4"/>
        <v>9.22433890639932E-08-1.59021735659543E-07i</v>
      </c>
      <c r="N65" t="str">
        <f t="shared" ca="1" si="5"/>
        <v>0.000929221620706959+0.000539011545371738i</v>
      </c>
      <c r="O65" t="str">
        <f t="shared" si="6"/>
        <v>-0.0000105425943260285-0.0000197920525671716i</v>
      </c>
      <c r="P65" t="str">
        <f ca="1">IMSUM(IMPRODUCT(analytical!$D$5,numerical!N65),IMPRODUCT(1-analytical!$D$5,numerical!O65))</f>
        <v>0.000872835767804979+0.000505483329495404i</v>
      </c>
      <c r="Q65" t="str">
        <f t="shared" ca="1" si="7"/>
        <v>857.945544658623-496.859989514874i</v>
      </c>
      <c r="R65">
        <f t="shared" ca="1" si="8"/>
        <v>857.94554465862302</v>
      </c>
      <c r="S65">
        <f t="shared" ca="1" si="9"/>
        <v>-496.85998951487397</v>
      </c>
    </row>
    <row r="66" spans="1:19" x14ac:dyDescent="0.15">
      <c r="A66">
        <f t="shared" si="10"/>
        <v>940</v>
      </c>
      <c r="B66">
        <f t="shared" si="0"/>
        <v>5906.194188748811</v>
      </c>
      <c r="C66" s="5">
        <f>data!O66</f>
        <v>-29.882000000000001</v>
      </c>
      <c r="D66" s="5">
        <f>data!B66</f>
        <v>-30.538</v>
      </c>
      <c r="E66" s="5">
        <f>data!G66</f>
        <v>-3.1508999999999999E-9</v>
      </c>
      <c r="F66" s="5">
        <f>data!J66</f>
        <v>1.8328999999999999E-9</v>
      </c>
      <c r="G66" t="str">
        <f t="shared" si="1"/>
        <v>-29.882-30.538i</v>
      </c>
      <c r="H66" t="str">
        <f t="shared" si="2"/>
        <v>-0.0000000031509+0.0000000018329i</v>
      </c>
      <c r="I66" t="str">
        <f t="shared" ca="1" si="11"/>
        <v>1.59286732555201-5.99706462896133i</v>
      </c>
      <c r="J66" t="str">
        <f ca="1">IMSUB(analytical!$D$5*analytical!$I$10,I66)</f>
        <v>-0.46016732555201+5.99706462896133i</v>
      </c>
      <c r="K66" t="str">
        <f ca="1">IMPRODUCT(analytical!$D$5/numerical!B66^2,IMDIV(numerical!G66,numerical!I66))</f>
        <v>9.4863127504425E-08-1.59467735316136E-07i</v>
      </c>
      <c r="L66" t="str">
        <f t="shared" ca="1" si="3"/>
        <v>3.54046212880137E-09-1.2676633589468E-09i</v>
      </c>
      <c r="M66" t="str">
        <f t="shared" ca="1" si="4"/>
        <v>9.13226653756236E-08-1.58200071957189E-07i</v>
      </c>
      <c r="N66" t="str">
        <f t="shared" ca="1" si="5"/>
        <v>0.000934360345653193+0.00053936939554256i</v>
      </c>
      <c r="O66" t="str">
        <f t="shared" si="6"/>
        <v>-0.0000108254633285577-0.0000186098272693286i</v>
      </c>
      <c r="P66" t="str">
        <f ca="1">IMSUM(IMPRODUCT(analytical!$D$5,numerical!N66),IMPRODUCT(1-analytical!$D$5,numerical!O66))</f>
        <v>0.000877649197114288+0.000505890642173846i</v>
      </c>
      <c r="Q66" t="str">
        <f t="shared" ca="1" si="7"/>
        <v>855.247315024875-492.977849051744i</v>
      </c>
      <c r="R66">
        <f t="shared" ca="1" si="8"/>
        <v>855.24731502487498</v>
      </c>
      <c r="S66">
        <f t="shared" ca="1" si="9"/>
        <v>-492.97784905174399</v>
      </c>
    </row>
    <row r="67" spans="1:19" x14ac:dyDescent="0.15">
      <c r="A67">
        <f t="shared" si="10"/>
        <v>950</v>
      </c>
      <c r="B67">
        <f t="shared" ref="B67:B102" si="12">2*PI()*A67</f>
        <v>5969.0260418206071</v>
      </c>
      <c r="C67" s="5">
        <f>data!O67</f>
        <v>-30.042000000000002</v>
      </c>
      <c r="D67" s="5">
        <f>data!B67</f>
        <v>-30.664000000000001</v>
      </c>
      <c r="E67" s="5">
        <f>data!G67</f>
        <v>-2.9193E-9</v>
      </c>
      <c r="F67" s="5">
        <f>data!J67</f>
        <v>1.8597999999999999E-9</v>
      </c>
      <c r="G67" t="str">
        <f t="shared" ref="G67:G102" si="13">COMPLEX(C67,D67)</f>
        <v>-30.042-30.664i</v>
      </c>
      <c r="H67" t="str">
        <f t="shared" ref="H67:H102" si="14">COMPLEX(E67,F67)</f>
        <v>-0.0000000029193+0.0000000018598i</v>
      </c>
      <c r="I67" t="str">
        <f t="shared" ca="1" si="11"/>
        <v>1.59284946411135-5.93420788289942i</v>
      </c>
      <c r="J67" t="str">
        <f ca="1">IMSUB(analytical!$D$5*analytical!$I$10,I67)</f>
        <v>-0.46014946411135+5.93420788289942i</v>
      </c>
      <c r="K67" t="str">
        <f ca="1">IMPRODUCT(analytical!$D$5/numerical!B67^2,IMDIV(numerical!G67,numerical!I67))</f>
        <v>9.37250505184345E-08-1.58720764617131E-07i</v>
      </c>
      <c r="L67" t="str">
        <f t="shared" ref="L67:L102" ca="1" si="15">IMPRODUCT(IMDIV(I67,J67),H67)</f>
        <v>3.31512017670874E-09-1.33326727154486E-09i</v>
      </c>
      <c r="M67" t="str">
        <f t="shared" ref="M67:M102" ca="1" si="16">IMSUB(K67,L67)</f>
        <v>9.04099303417258E-08-1.57387497345586E-07i</v>
      </c>
      <c r="N67" t="str">
        <f t="shared" ref="N67:N102" ca="1" si="17">IMPRODUCT(M67,COMPLEX(0,B67))</f>
        <v>0.000939450070312775+0.000539659228648949i</v>
      </c>
      <c r="O67" t="str">
        <f t="shared" ref="O67:O102" si="18">IMPRODUCT(H67,COMPLEX(0,B67))</f>
        <v>-0.000011101194632578-0.0000174253777238869i</v>
      </c>
      <c r="P67" t="str">
        <f ca="1">IMSUM(IMPRODUCT(analytical!$D$5,numerical!N67),IMPRODUCT(1-analytical!$D$5,numerical!O67))</f>
        <v>0.000882416994416053+0.000506234152266579i</v>
      </c>
      <c r="Q67" t="str">
        <f t="shared" ref="Q67:Q102" ca="1" si="19">IMDIV(1,P67)</f>
        <v>852.632191081145-489.14689673763i</v>
      </c>
      <c r="R67">
        <f t="shared" ref="R67:R102" ca="1" si="20">IMREAL(Q67)</f>
        <v>852.63219108114504</v>
      </c>
      <c r="S67">
        <f t="shared" ref="S67:S102" ca="1" si="21">IMAGINARY(Q67)</f>
        <v>-489.14689673763002</v>
      </c>
    </row>
    <row r="68" spans="1:19" x14ac:dyDescent="0.15">
      <c r="A68">
        <f t="shared" ref="A68:A102" si="22">A67+10</f>
        <v>960</v>
      </c>
      <c r="B68">
        <f t="shared" si="12"/>
        <v>6031.8578948924023</v>
      </c>
      <c r="C68" s="5">
        <f>data!O68</f>
        <v>-30.201000000000001</v>
      </c>
      <c r="D68" s="5">
        <f>data!B68</f>
        <v>-30.79</v>
      </c>
      <c r="E68" s="5">
        <f>data!G68</f>
        <v>-2.6918000000000002E-9</v>
      </c>
      <c r="F68" s="5">
        <f>data!J68</f>
        <v>1.885E-9</v>
      </c>
      <c r="G68" t="str">
        <f t="shared" si="13"/>
        <v>-30.201-30.79i</v>
      </c>
      <c r="H68" t="str">
        <f t="shared" si="14"/>
        <v>-0.0000000026918+0.000000001885i</v>
      </c>
      <c r="I68" t="str">
        <f t="shared" ca="1" si="11"/>
        <v>1.59283141942949-5.8726634207427i</v>
      </c>
      <c r="J68" t="str">
        <f ca="1">IMSUB(analytical!$D$5*analytical!$I$10,I68)</f>
        <v>-0.46013141942949+5.8726634207427i</v>
      </c>
      <c r="K68" t="str">
        <f ca="1">IMPRODUCT(analytical!$D$5/numerical!B68^2,IMDIV(numerical!G68,numerical!I68))</f>
        <v>9.26071716099956E-08-1.57983057389278E-07i</v>
      </c>
      <c r="L68" t="str">
        <f t="shared" ca="1" si="15"/>
        <v>3.09358497831517E-09-1.39729488863501E-09i</v>
      </c>
      <c r="M68" t="str">
        <f t="shared" ca="1" si="16"/>
        <v>8.95135866316804E-08-1.56585762500643E-07i</v>
      </c>
      <c r="N68" t="str">
        <f t="shared" ca="1" si="17"/>
        <v>0.00094450306776725+0.000539933234224436i</v>
      </c>
      <c r="O68" t="str">
        <f t="shared" si="18"/>
        <v>-0.0000113700521318722-0.0000162365550814714i</v>
      </c>
      <c r="P68" t="str">
        <f ca="1">IMSUM(IMPRODUCT(analytical!$D$5,numerical!N68),IMPRODUCT(1-analytical!$D$5,numerical!O68))</f>
        <v>0.000887150680573303+0.000506563046866082i</v>
      </c>
      <c r="Q68" t="str">
        <f t="shared" ca="1" si="19"/>
        <v>850.052314521264-485.379879505009i</v>
      </c>
      <c r="R68">
        <f t="shared" ca="1" si="20"/>
        <v>850.05231452126395</v>
      </c>
      <c r="S68">
        <f t="shared" ca="1" si="21"/>
        <v>-485.379879505009</v>
      </c>
    </row>
    <row r="69" spans="1:19" x14ac:dyDescent="0.15">
      <c r="A69">
        <f t="shared" si="22"/>
        <v>970</v>
      </c>
      <c r="B69">
        <f t="shared" si="12"/>
        <v>6094.6897479641984</v>
      </c>
      <c r="C69" s="5">
        <f>data!O69</f>
        <v>-30.359000000000002</v>
      </c>
      <c r="D69" s="5">
        <f>data!B69</f>
        <v>-30.914000000000001</v>
      </c>
      <c r="E69" s="5">
        <f>data!G69</f>
        <v>-2.4678000000000001E-9</v>
      </c>
      <c r="F69" s="5">
        <f>data!J69</f>
        <v>1.9085000000000002E-9</v>
      </c>
      <c r="G69" t="str">
        <f t="shared" si="13"/>
        <v>-30.359-30.914i</v>
      </c>
      <c r="H69" t="str">
        <f t="shared" si="14"/>
        <v>-0.0000000024678+0.0000000019085i</v>
      </c>
      <c r="I69" t="str">
        <f t="shared" ca="1" si="11"/>
        <v>1.59281319168475-5.81239065450054i</v>
      </c>
      <c r="J69" t="str">
        <f ca="1">IMSUB(analytical!$D$5*analytical!$I$10,I69)</f>
        <v>-0.46011319168475+5.81239065450054i</v>
      </c>
      <c r="K69" t="str">
        <f ca="1">IMPRODUCT(analytical!$D$5/numerical!B69^2,IMDIV(numerical!G69,numerical!I69))</f>
        <v>9.15008244359855E-08-1.57252093573944E-07i</v>
      </c>
      <c r="L69" t="str">
        <f t="shared" ca="1" si="15"/>
        <v>2.87523890172665E-09-1.4598362398498E-09i</v>
      </c>
      <c r="M69" t="str">
        <f t="shared" ca="1" si="16"/>
        <v>8.86255855342589E-08-1.55792257334094E-07i</v>
      </c>
      <c r="N69" t="str">
        <f t="shared" ca="1" si="17"/>
        <v>0.000949505473586303+0.000540145447562972i</v>
      </c>
      <c r="O69" t="str">
        <f t="shared" si="18"/>
        <v>-0.0000116317153839897-0.0000150404753600261i</v>
      </c>
      <c r="P69" t="str">
        <f ca="1">IMSUM(IMPRODUCT(analytical!$D$5,numerical!N69),IMPRODUCT(1-analytical!$D$5,numerical!O69))</f>
        <v>0.000891837242248086+0.000506834292187592i</v>
      </c>
      <c r="Q69" t="str">
        <f t="shared" ca="1" si="19"/>
        <v>847.548859346933-481.665045898599i</v>
      </c>
      <c r="R69">
        <f t="shared" ca="1" si="20"/>
        <v>847.548859346933</v>
      </c>
      <c r="S69">
        <f t="shared" ca="1" si="21"/>
        <v>-481.66504589859898</v>
      </c>
    </row>
    <row r="70" spans="1:19" x14ac:dyDescent="0.15">
      <c r="A70">
        <f t="shared" si="22"/>
        <v>980</v>
      </c>
      <c r="B70">
        <f t="shared" si="12"/>
        <v>6157.5216010359945</v>
      </c>
      <c r="C70" s="5">
        <f>data!O70</f>
        <v>-30.515999999999998</v>
      </c>
      <c r="D70" s="5">
        <f>data!B70</f>
        <v>-31.036000000000001</v>
      </c>
      <c r="E70" s="5">
        <f>data!G70</f>
        <v>-2.2466000000000001E-9</v>
      </c>
      <c r="F70" s="5">
        <f>data!J70</f>
        <v>1.9303999999999999E-9</v>
      </c>
      <c r="G70" t="str">
        <f t="shared" si="13"/>
        <v>-30.516-31.036i</v>
      </c>
      <c r="H70" t="str">
        <f t="shared" si="14"/>
        <v>-0.0000000022466+0.0000000019304i</v>
      </c>
      <c r="I70" t="str">
        <f t="shared" ref="I70:I102" ca="1" si="23">rhoo(B70)</f>
        <v>1.59279478105718-5.75335065281741i</v>
      </c>
      <c r="J70" t="str">
        <f ca="1">IMSUB(analytical!$D$5*analytical!$I$10,I70)</f>
        <v>-0.46009478105718+5.75335065281741i</v>
      </c>
      <c r="K70" t="str">
        <f ca="1">IMPRODUCT(analytical!$D$5/numerical!B70^2,IMDIV(numerical!G70,numerical!I70))</f>
        <v>9.0405748791463E-08-1.56527595848598E-07i</v>
      </c>
      <c r="L70" t="str">
        <f t="shared" ca="1" si="15"/>
        <v>2.65938164945168E-09-1.52110717578843E-09i</v>
      </c>
      <c r="M70" t="str">
        <f t="shared" ca="1" si="16"/>
        <v>8.77463671420113E-08-1.5500648867281E-07i</v>
      </c>
      <c r="N70" t="str">
        <f t="shared" ca="1" si="17"/>
        <v>0.000954455802303568+0.000540300151089369i</v>
      </c>
      <c r="O70" t="str">
        <f t="shared" si="18"/>
        <v>-0.0000118864796986399-0.0000138334880288875i</v>
      </c>
      <c r="P70" t="str">
        <f ca="1">IMSUM(IMPRODUCT(analytical!$D$5,numerical!N70),IMPRODUCT(1-analytical!$D$5,numerical!O70))</f>
        <v>0.000896475265383436+0.000507052132742274i</v>
      </c>
      <c r="Q70" t="str">
        <f t="shared" ca="1" si="19"/>
        <v>845.117662166465-478.003944521979i</v>
      </c>
      <c r="R70">
        <f t="shared" ca="1" si="20"/>
        <v>845.11766216646504</v>
      </c>
      <c r="S70">
        <f t="shared" ca="1" si="21"/>
        <v>-478.00394452197901</v>
      </c>
    </row>
    <row r="71" spans="1:19" x14ac:dyDescent="0.15">
      <c r="A71">
        <f t="shared" si="22"/>
        <v>990</v>
      </c>
      <c r="B71">
        <f t="shared" si="12"/>
        <v>6220.3534541077906</v>
      </c>
      <c r="C71" s="5">
        <f>data!O71</f>
        <v>-30.670999999999999</v>
      </c>
      <c r="D71" s="5">
        <f>data!B71</f>
        <v>-31.157</v>
      </c>
      <c r="E71" s="5">
        <f>data!G71</f>
        <v>-2.0276999999999999E-9</v>
      </c>
      <c r="F71" s="5">
        <f>data!J71</f>
        <v>1.9507999999999999E-9</v>
      </c>
      <c r="G71" t="str">
        <f t="shared" si="13"/>
        <v>-30.671-31.157i</v>
      </c>
      <c r="H71" t="str">
        <f t="shared" si="14"/>
        <v>-0.0000000020277+0.0000000019508i</v>
      </c>
      <c r="I71" t="str">
        <f t="shared" ca="1" si="23"/>
        <v>1.59277618772847-5.6955060573041i</v>
      </c>
      <c r="J71" t="str">
        <f ca="1">IMSUB(analytical!$D$5*analytical!$I$10,I71)</f>
        <v>-0.46007618772847+5.6955060573041i</v>
      </c>
      <c r="K71" t="str">
        <f ca="1">IMPRODUCT(analytical!$D$5/numerical!B71^2,IMDIV(numerical!G71,numerical!I71))</f>
        <v>8.93267578472591E-08-1.55806449577011E-07i</v>
      </c>
      <c r="L71" t="str">
        <f t="shared" ca="1" si="15"/>
        <v>2.44551609198362E-09-1.58128962918235E-09i</v>
      </c>
      <c r="M71" t="str">
        <f t="shared" ca="1" si="16"/>
        <v>8.68812417552755E-08-1.54225159947829E-07i</v>
      </c>
      <c r="N71" t="str">
        <f t="shared" ca="1" si="17"/>
        <v>0.000959335006391804+0.000540432032249602i</v>
      </c>
      <c r="O71" t="str">
        <f t="shared" si="18"/>
        <v>-0.0000121346655182735-0.0000126130106988944i</v>
      </c>
      <c r="P71" t="str">
        <f ca="1">IMSUM(IMPRODUCT(analytical!$D$5,numerical!N71),IMPRODUCT(1-analytical!$D$5,numerical!O71))</f>
        <v>0.0009010468260772+0.000507249329672692i</v>
      </c>
      <c r="Q71" t="str">
        <f t="shared" ca="1" si="19"/>
        <v>842.739953395638-474.425150920744i</v>
      </c>
      <c r="R71">
        <f t="shared" ca="1" si="20"/>
        <v>842.73995339563805</v>
      </c>
      <c r="S71">
        <f t="shared" ca="1" si="21"/>
        <v>-474.42515092074399</v>
      </c>
    </row>
    <row r="72" spans="1:19" x14ac:dyDescent="0.15">
      <c r="A72">
        <f t="shared" si="22"/>
        <v>1000</v>
      </c>
      <c r="B72">
        <f t="shared" si="12"/>
        <v>6283.1853071795858</v>
      </c>
      <c r="C72" s="5">
        <f>data!O72</f>
        <v>-30.824999999999999</v>
      </c>
      <c r="D72" s="5">
        <f>data!B72</f>
        <v>-31.277000000000001</v>
      </c>
      <c r="E72" s="5">
        <f>data!G72</f>
        <v>-1.8104999999999999E-9</v>
      </c>
      <c r="F72" s="5">
        <f>data!J72</f>
        <v>1.9694999999999999E-9</v>
      </c>
      <c r="G72" t="str">
        <f t="shared" si="13"/>
        <v>-30.825-31.277i</v>
      </c>
      <c r="H72" t="str">
        <f t="shared" si="14"/>
        <v>-0.0000000018105+0.0000000019695i</v>
      </c>
      <c r="I72" t="str">
        <f t="shared" ca="1" si="23"/>
        <v>1.59275741188195-5.63882100388978i</v>
      </c>
      <c r="J72" t="str">
        <f ca="1">IMSUB(analytical!$D$5*analytical!$I$10,I72)</f>
        <v>-0.46005741188195+5.63882100388978i</v>
      </c>
      <c r="K72" t="str">
        <f ca="1">IMPRODUCT(analytical!$D$5/numerical!B72^2,IMDIV(numerical!G72,numerical!I72))</f>
        <v>8.82623665658911E-08-1.5509244345439E-07i</v>
      </c>
      <c r="L72" t="str">
        <f t="shared" ca="1" si="15"/>
        <v>2.23298381692917E-09-1.64028463080474E-09i</v>
      </c>
      <c r="M72" t="str">
        <f t="shared" ca="1" si="16"/>
        <v>8.60293827489619E-08-1.53452158823585E-07i</v>
      </c>
      <c r="N72" t="str">
        <f t="shared" ca="1" si="17"/>
        <v>0.000964168349675338+0.000540538553674007i</v>
      </c>
      <c r="O72" t="str">
        <f t="shared" si="18"/>
        <v>-0.0000123747334624902-0.0000113757069986486i</v>
      </c>
      <c r="P72" t="str">
        <f ca="1">IMSUM(IMPRODUCT(analytical!$D$5,numerical!N72),IMPRODUCT(1-analytical!$D$5,numerical!O72))</f>
        <v>0.000905575764687069+0.000507423698033648i</v>
      </c>
      <c r="Q72" t="str">
        <f t="shared" ca="1" si="19"/>
        <v>840.405452432885-470.906642105751i</v>
      </c>
      <c r="R72">
        <f t="shared" ca="1" si="20"/>
        <v>840.405452432885</v>
      </c>
      <c r="S72">
        <f t="shared" ca="1" si="21"/>
        <v>-470.90664210575102</v>
      </c>
    </row>
    <row r="73" spans="1:19" x14ac:dyDescent="0.15">
      <c r="A73">
        <f t="shared" si="22"/>
        <v>1010</v>
      </c>
      <c r="B73">
        <f t="shared" si="12"/>
        <v>6346.0171602513819</v>
      </c>
      <c r="C73" s="5">
        <f>data!O73</f>
        <v>-30.978999999999999</v>
      </c>
      <c r="D73" s="5">
        <f>data!B73</f>
        <v>-31.395</v>
      </c>
      <c r="E73" s="5">
        <f>data!G73</f>
        <v>-1.5945E-9</v>
      </c>
      <c r="F73" s="5">
        <f>data!J73</f>
        <v>1.9866000000000002E-9</v>
      </c>
      <c r="G73" t="str">
        <f t="shared" si="13"/>
        <v>-30.979-31.395i</v>
      </c>
      <c r="H73" t="str">
        <f t="shared" si="14"/>
        <v>-0.0000000015945+0.0000000019866i</v>
      </c>
      <c r="I73" t="str">
        <f t="shared" ca="1" si="23"/>
        <v>1.59273845370262-5.58326104884577i</v>
      </c>
      <c r="J73" t="str">
        <f ca="1">IMSUB(analytical!$D$5*analytical!$I$10,I73)</f>
        <v>-0.46003845370262+5.58326104884577i</v>
      </c>
      <c r="K73" t="str">
        <f ca="1">IMPRODUCT(analytical!$D$5/numerical!B73^2,IMDIV(numerical!G73,numerical!I73))</f>
        <v>8.72072458925986E-08-1.54388090858752E-07i</v>
      </c>
      <c r="L73" t="str">
        <f t="shared" ca="1" si="15"/>
        <v>2.02128623705255E-09-1.69828246382147E-09i</v>
      </c>
      <c r="M73" t="str">
        <f t="shared" ca="1" si="16"/>
        <v>8.51859596555461E-08-1.52689808394931E-07i</v>
      </c>
      <c r="N73" t="str">
        <f t="shared" ca="1" si="17"/>
        <v>0.000968972144269727+0.000540591561786577i</v>
      </c>
      <c r="O73" t="str">
        <f t="shared" si="18"/>
        <v>-0.0000126069976905554-0.0000101187243620208i</v>
      </c>
      <c r="P73" t="str">
        <f ca="1">IMSUM(IMPRODUCT(analytical!$D$5,numerical!N73),IMPRODUCT(1-analytical!$D$5,numerical!O73))</f>
        <v>0.00091007739575211+0.000507548944617661i</v>
      </c>
      <c r="Q73" t="str">
        <f t="shared" ca="1" si="19"/>
        <v>838.12688668098-467.42224208202i</v>
      </c>
      <c r="R73">
        <f t="shared" ca="1" si="20"/>
        <v>838.12688668097996</v>
      </c>
      <c r="S73">
        <f t="shared" ca="1" si="21"/>
        <v>-467.42224208201998</v>
      </c>
    </row>
    <row r="74" spans="1:19" x14ac:dyDescent="0.15">
      <c r="A74">
        <f t="shared" si="22"/>
        <v>1020</v>
      </c>
      <c r="B74">
        <f t="shared" si="12"/>
        <v>6408.849013323178</v>
      </c>
      <c r="C74" s="5">
        <f>data!O74</f>
        <v>-31.13</v>
      </c>
      <c r="D74" s="5">
        <f>data!B74</f>
        <v>-31.512</v>
      </c>
      <c r="E74" s="5">
        <f>data!G74</f>
        <v>-1.3790999999999999E-9</v>
      </c>
      <c r="F74" s="5">
        <f>data!J74</f>
        <v>2.0019999999999999E-9</v>
      </c>
      <c r="G74" t="str">
        <f t="shared" si="13"/>
        <v>-31.13-31.512i</v>
      </c>
      <c r="H74" t="str">
        <f t="shared" si="14"/>
        <v>-0.0000000013791+0.000000002002i</v>
      </c>
      <c r="I74" t="str">
        <f t="shared" ca="1" si="23"/>
        <v>1.59271931337716-5.52879309916093i</v>
      </c>
      <c r="J74" t="str">
        <f ca="1">IMSUB(analytical!$D$5*analytical!$I$10,I74)</f>
        <v>-0.46001931337716+5.52879309916093i</v>
      </c>
      <c r="K74" t="str">
        <f ca="1">IMPRODUCT(analytical!$D$5/numerical!B74^2,IMDIV(numerical!G74,numerical!I74))</f>
        <v>8.61683119704731E-08-1.53682661166283E-07i</v>
      </c>
      <c r="L74" t="str">
        <f t="shared" ca="1" si="15"/>
        <v>1.80978255635222E-09-1.75529438962903E-09i</v>
      </c>
      <c r="M74" t="str">
        <f t="shared" ca="1" si="16"/>
        <v>8.43585294141209E-08-1.51927366776654E-07i</v>
      </c>
      <c r="N74" t="str">
        <f t="shared" ca="1" si="17"/>
        <v>0.000973679554663348+0.000540641078001083i</v>
      </c>
      <c r="O74" t="str">
        <f t="shared" si="18"/>
        <v>-0.000012830515724673-0.000008838443674274i</v>
      </c>
      <c r="P74" t="str">
        <f ca="1">IMSUM(IMPRODUCT(analytical!$D$5,numerical!N74),IMPRODUCT(1-analytical!$D$5,numerical!O74))</f>
        <v>0.000914488950440067+0.000507672306700562i</v>
      </c>
      <c r="Q74" t="str">
        <f t="shared" ca="1" si="19"/>
        <v>835.89691027404-464.042471369922i</v>
      </c>
      <c r="R74">
        <f t="shared" ca="1" si="20"/>
        <v>835.89691027404001</v>
      </c>
      <c r="S74">
        <f t="shared" ca="1" si="21"/>
        <v>-464.042471369922</v>
      </c>
    </row>
    <row r="75" spans="1:19" x14ac:dyDescent="0.15">
      <c r="A75">
        <f t="shared" si="22"/>
        <v>1030</v>
      </c>
      <c r="B75">
        <f t="shared" si="12"/>
        <v>6471.6808663949741</v>
      </c>
      <c r="C75" s="5">
        <f>data!O75</f>
        <v>-31.280999999999999</v>
      </c>
      <c r="D75" s="5">
        <f>data!B75</f>
        <v>-31.626000000000001</v>
      </c>
      <c r="E75" s="5">
        <f>data!G75</f>
        <v>-1.1637E-9</v>
      </c>
      <c r="F75" s="5">
        <f>data!J75</f>
        <v>2.0157E-9</v>
      </c>
      <c r="G75" t="str">
        <f t="shared" si="13"/>
        <v>-31.281-31.626i</v>
      </c>
      <c r="H75" t="str">
        <f t="shared" si="14"/>
        <v>-0.0000000011637+0.0000000020157i</v>
      </c>
      <c r="I75" t="str">
        <f t="shared" ca="1" si="23"/>
        <v>1.59269999109384-5.47538534697306i</v>
      </c>
      <c r="J75" t="str">
        <f ca="1">IMSUB(analytical!$D$5*analytical!$I$10,I75)</f>
        <v>-0.45999999109384+5.47538534697306i</v>
      </c>
      <c r="K75" t="str">
        <f ca="1">IMPRODUCT(analytical!$D$5/numerical!B75^2,IMDIV(numerical!G75,numerical!I75))</f>
        <v>8.51343629942571E-08-1.52985324830906E-07i</v>
      </c>
      <c r="L75" t="str">
        <f t="shared" ca="1" si="15"/>
        <v>1.5978509847063E-09-1.81143793075222E-09i</v>
      </c>
      <c r="M75" t="str">
        <f t="shared" ca="1" si="16"/>
        <v>8.35365120095508E-08-1.51173886900154E-07i</v>
      </c>
      <c r="N75" t="str">
        <f t="shared" ca="1" si="17"/>
        <v>0.000978349151350284+0.000540621646417584i</v>
      </c>
      <c r="O75" t="str">
        <f t="shared" si="18"/>
        <v>-0.0000130449671223923-7.53109502422383E-06i</v>
      </c>
      <c r="P75" t="str">
        <f ca="1">IMSUM(IMPRODUCT(analytical!$D$5,numerical!N75),IMPRODUCT(1-analytical!$D$5,numerical!O75))</f>
        <v>0.000918865504241923+0.000507732481931076i</v>
      </c>
      <c r="Q75" t="str">
        <f t="shared" ca="1" si="19"/>
        <v>833.735984374528-460.692929125649i</v>
      </c>
      <c r="R75">
        <f t="shared" ca="1" si="20"/>
        <v>833.73598437452802</v>
      </c>
      <c r="S75">
        <f t="shared" ca="1" si="21"/>
        <v>-460.69292912564902</v>
      </c>
    </row>
    <row r="76" spans="1:19" x14ac:dyDescent="0.15">
      <c r="A76">
        <f t="shared" si="22"/>
        <v>1040</v>
      </c>
      <c r="B76">
        <f t="shared" si="12"/>
        <v>6534.5127194667693</v>
      </c>
      <c r="C76" s="5">
        <f>data!O76</f>
        <v>-31.431000000000001</v>
      </c>
      <c r="D76" s="5">
        <f>data!B76</f>
        <v>-31.739000000000001</v>
      </c>
      <c r="E76" s="5">
        <f>data!G76</f>
        <v>-9.4772999999999999E-10</v>
      </c>
      <c r="F76" s="5">
        <f>data!J76</f>
        <v>2.0275999999999999E-9</v>
      </c>
      <c r="G76" t="str">
        <f t="shared" si="13"/>
        <v>-31.431-31.739i</v>
      </c>
      <c r="H76" t="str">
        <f t="shared" si="14"/>
        <v>-0.00000000094773+0.0000000020276i</v>
      </c>
      <c r="I76" t="str">
        <f t="shared" ca="1" si="23"/>
        <v>1.59268048704259-5.42300720778281i</v>
      </c>
      <c r="J76" t="str">
        <f ca="1">IMSUB(analytical!$D$5*analytical!$I$10,I76)</f>
        <v>-0.45998048704259+5.42300720778281i</v>
      </c>
      <c r="K76" t="str">
        <f ca="1">IMPRODUCT(analytical!$D$5/numerical!B76^2,IMDIV(numerical!G76,numerical!I76))</f>
        <v>8.4113907216889E-08-1.52294202478416E-07i</v>
      </c>
      <c r="L76" t="str">
        <f t="shared" ca="1" si="15"/>
        <v>1.38487875114235E-09-1.86672728821613E-09i</v>
      </c>
      <c r="M76" t="str">
        <f t="shared" ca="1" si="16"/>
        <v>8.27290284657466E-08-0.0000001504274751902i</v>
      </c>
      <c r="N76" t="str">
        <f t="shared" ca="1" si="17"/>
        <v>0.000982970249987634+0.00054059388877855i</v>
      </c>
      <c r="O76" t="str">
        <f t="shared" si="18"/>
        <v>-0.0000132493779899908-6.19295373962024E-06i</v>
      </c>
      <c r="P76" t="str">
        <f ca="1">IMSUM(IMPRODUCT(analytical!$D$5,numerical!N76),IMPRODUCT(1-analytical!$D$5,numerical!O76))</f>
        <v>0.000923197072308977+0.00050778667822746i</v>
      </c>
      <c r="Q76" t="str">
        <f t="shared" ca="1" si="19"/>
        <v>831.604078589428-457.407725103795i</v>
      </c>
      <c r="R76">
        <f t="shared" ca="1" si="20"/>
        <v>831.60407858942801</v>
      </c>
      <c r="S76">
        <f t="shared" ca="1" si="21"/>
        <v>-457.40772510379497</v>
      </c>
    </row>
    <row r="77" spans="1:19" x14ac:dyDescent="0.15">
      <c r="A77">
        <f t="shared" si="22"/>
        <v>1050</v>
      </c>
      <c r="B77">
        <f t="shared" si="12"/>
        <v>6597.3445725385654</v>
      </c>
      <c r="C77" s="5">
        <f>data!O77</f>
        <v>-31.579000000000001</v>
      </c>
      <c r="D77" s="5">
        <f>data!B77</f>
        <v>-31.85</v>
      </c>
      <c r="E77" s="5">
        <f>data!G77</f>
        <v>-7.3052999999999996E-10</v>
      </c>
      <c r="F77" s="5">
        <f>data!J77</f>
        <v>2.0375E-9</v>
      </c>
      <c r="G77" t="str">
        <f t="shared" si="13"/>
        <v>-31.579-31.85i</v>
      </c>
      <c r="H77" t="str">
        <f t="shared" si="14"/>
        <v>-0.00000000073053+0.0000000020375i</v>
      </c>
      <c r="I77" t="str">
        <f t="shared" ca="1" si="23"/>
        <v>1.59266080141497-5.37162926219835i</v>
      </c>
      <c r="J77" t="str">
        <f ca="1">IMSUB(analytical!$D$5*analytical!$I$10,I77)</f>
        <v>-0.45996080141497+5.37162926219835i</v>
      </c>
      <c r="K77" t="str">
        <f ca="1">IMPRODUCT(analytical!$D$5/numerical!B77^2,IMDIV(numerical!G77,numerical!I77))</f>
        <v>8.3104030734426E-08-1.51604292843993E-07i</v>
      </c>
      <c r="L77" t="str">
        <f t="shared" ca="1" si="15"/>
        <v>1.1701390077183E-09-1.92109799439235E-09i</v>
      </c>
      <c r="M77" t="str">
        <f t="shared" ca="1" si="16"/>
        <v>8.19338917267077E-08-1.49683194849601E-07i</v>
      </c>
      <c r="N77" t="str">
        <f t="shared" ca="1" si="17"/>
        <v>0.000987511613141248+0.000540546115890158i</v>
      </c>
      <c r="O77" t="str">
        <f t="shared" si="18"/>
        <v>-0.0000134420895665473-0.0000048195581305766i</v>
      </c>
      <c r="P77" t="str">
        <f ca="1">IMSUM(IMPRODUCT(analytical!$D$5,numerical!N77),IMPRODUCT(1-analytical!$D$5,numerical!O77))</f>
        <v>0.00092745439097878+0.000507824175448913i</v>
      </c>
      <c r="Q77" t="str">
        <f t="shared" ca="1" si="19"/>
        <v>829.523322486829-454.202385966336i</v>
      </c>
      <c r="R77">
        <f t="shared" ca="1" si="20"/>
        <v>829.52332248682899</v>
      </c>
      <c r="S77">
        <f t="shared" ca="1" si="21"/>
        <v>-454.20238596633601</v>
      </c>
    </row>
    <row r="78" spans="1:19" x14ac:dyDescent="0.15">
      <c r="A78">
        <f t="shared" si="22"/>
        <v>1060</v>
      </c>
      <c r="B78">
        <f t="shared" si="12"/>
        <v>6660.1764256103615</v>
      </c>
      <c r="C78" s="5">
        <f>data!O78</f>
        <v>-31.725999999999999</v>
      </c>
      <c r="D78" s="5">
        <f>data!B78</f>
        <v>-31.959</v>
      </c>
      <c r="E78" s="5">
        <f>data!G78</f>
        <v>-5.1147999999999997E-10</v>
      </c>
      <c r="F78" s="5">
        <f>data!J78</f>
        <v>2.0453E-9</v>
      </c>
      <c r="G78" t="str">
        <f t="shared" si="13"/>
        <v>-31.726-31.959i</v>
      </c>
      <c r="H78" t="str">
        <f t="shared" si="14"/>
        <v>-0.00000000051148+0.0000000020453i</v>
      </c>
      <c r="I78" t="str">
        <f t="shared" ca="1" si="23"/>
        <v>1.59264093440417-5.32122320097767i</v>
      </c>
      <c r="J78" t="str">
        <f ca="1">IMSUB(analytical!$D$5*analytical!$I$10,I78)</f>
        <v>-0.45994093440417+5.32122320097767i</v>
      </c>
      <c r="K78" t="str">
        <f ca="1">IMPRODUCT(analytical!$D$5/numerical!B78^2,IMDIV(numerical!G78,numerical!I78))</f>
        <v>8.21034541465685E-08-1.5091917723116E-07i</v>
      </c>
      <c r="L78" t="str">
        <f t="shared" ca="1" si="15"/>
        <v>9.52964316037699E-10-1.97458379943023E-09i</v>
      </c>
      <c r="M78" t="str">
        <f t="shared" ca="1" si="16"/>
        <v>8.11504898305308E-08-1.4894459343173E-07i</v>
      </c>
      <c r="N78" t="str">
        <f t="shared" ca="1" si="17"/>
        <v>0.000991997269896128+0.000540476579296034i</v>
      </c>
      <c r="O78" t="str">
        <f t="shared" si="18"/>
        <v>-0.0000136220588433009-3.40654703817119E-06i</v>
      </c>
      <c r="P78" t="str">
        <f ca="1">IMSUM(IMPRODUCT(analytical!$D$5,numerical!N78),IMPRODUCT(1-analytical!$D$5,numerical!O78))</f>
        <v>0.000931660110171762+0.000507843591715982i</v>
      </c>
      <c r="Q78" t="str">
        <f t="shared" ca="1" si="19"/>
        <v>827.48351489921-451.05741429104i</v>
      </c>
      <c r="R78">
        <f t="shared" ca="1" si="20"/>
        <v>827.48351489921004</v>
      </c>
      <c r="S78">
        <f t="shared" ca="1" si="21"/>
        <v>-451.05741429104</v>
      </c>
    </row>
    <row r="79" spans="1:19" x14ac:dyDescent="0.15">
      <c r="A79">
        <f t="shared" si="22"/>
        <v>1070</v>
      </c>
      <c r="B79">
        <f t="shared" si="12"/>
        <v>6723.0082786821577</v>
      </c>
      <c r="C79" s="5">
        <f>data!O79</f>
        <v>-31.872</v>
      </c>
      <c r="D79" s="5">
        <f>data!B79</f>
        <v>-32.066000000000003</v>
      </c>
      <c r="E79" s="5">
        <f>data!G79</f>
        <v>-2.8990999999999998E-10</v>
      </c>
      <c r="F79" s="5">
        <f>data!J79</f>
        <v>2.0509E-9</v>
      </c>
      <c r="G79" t="str">
        <f t="shared" si="13"/>
        <v>-31.872-32.066i</v>
      </c>
      <c r="H79" t="str">
        <f t="shared" si="14"/>
        <v>-0.00000000028991+0.0000000020509i</v>
      </c>
      <c r="I79" t="str">
        <f t="shared" ca="1" si="23"/>
        <v>1.59262088620497-5.27176177315229i</v>
      </c>
      <c r="J79" t="str">
        <f ca="1">IMSUB(analytical!$D$5*analytical!$I$10,I79)</f>
        <v>-0.45992088620497+5.27176177315229i</v>
      </c>
      <c r="K79" t="str">
        <f ca="1">IMPRODUCT(analytical!$D$5/numerical!B79^2,IMDIV(numerical!G79,numerical!I79))</f>
        <v>8.11120044047467E-08-1.50238666225914E-07i</v>
      </c>
      <c r="L79" t="str">
        <f t="shared" ca="1" si="15"/>
        <v>7.32634676178178E-10-2.02723376905939E-09i</v>
      </c>
      <c r="M79" t="str">
        <f t="shared" ca="1" si="16"/>
        <v>8.03793697285685E-08-1.48211432456855E-07i</v>
      </c>
      <c r="N79" t="str">
        <f t="shared" ca="1" si="17"/>
        <v>0.000996426687402778+0.00054039116812042i</v>
      </c>
      <c r="O79" t="str">
        <f t="shared" si="18"/>
        <v>-0.0000137882176787492-1.94906733007274E-06i</v>
      </c>
      <c r="P79" t="str">
        <f ca="1">IMSUM(IMPRODUCT(analytical!$D$5,numerical!N79),IMPRODUCT(1-analytical!$D$5,numerical!O79))</f>
        <v>0.000935813793097886+0.000507850753993391i</v>
      </c>
      <c r="Q79" t="str">
        <f t="shared" ca="1" si="19"/>
        <v>825.480234050535-447.974546177003i</v>
      </c>
      <c r="R79">
        <f t="shared" ca="1" si="20"/>
        <v>825.48023405053505</v>
      </c>
      <c r="S79">
        <f t="shared" ca="1" si="21"/>
        <v>-447.97454617700299</v>
      </c>
    </row>
    <row r="80" spans="1:19" x14ac:dyDescent="0.15">
      <c r="A80">
        <f t="shared" si="22"/>
        <v>1080</v>
      </c>
      <c r="B80">
        <f t="shared" si="12"/>
        <v>6785.8401317539528</v>
      </c>
      <c r="C80" s="5">
        <f>data!O80</f>
        <v>-32.017000000000003</v>
      </c>
      <c r="D80" s="5">
        <f>data!B80</f>
        <v>-32.17</v>
      </c>
      <c r="E80" s="5">
        <f>data!G80</f>
        <v>-6.5115E-11</v>
      </c>
      <c r="F80" s="5">
        <f>data!J80</f>
        <v>2.0538000000000001E-9</v>
      </c>
      <c r="G80" t="str">
        <f t="shared" si="13"/>
        <v>-32.017-32.17i</v>
      </c>
      <c r="H80" t="str">
        <f t="shared" si="14"/>
        <v>-0.000000000065115+0.0000000020538i</v>
      </c>
      <c r="I80" t="str">
        <f t="shared" ca="1" si="23"/>
        <v>1.5926006570138-5.22321873703333i</v>
      </c>
      <c r="J80" t="str">
        <f ca="1">IMSUB(analytical!$D$5*analytical!$I$10,I80)</f>
        <v>-0.4599006570138+5.22321873703333i</v>
      </c>
      <c r="K80" t="str">
        <f ca="1">IMPRODUCT(analytical!$D$5/numerical!B80^2,IMDIV(numerical!G80,numerical!I80))</f>
        <v>8.01259393408956E-08-1.49561488244801E-07i</v>
      </c>
      <c r="L80" t="str">
        <f t="shared" ca="1" si="15"/>
        <v>5.08306631581592E-10-2.07870195578547E-09i</v>
      </c>
      <c r="M80" t="str">
        <f t="shared" ca="1" si="16"/>
        <v>7.9617632709314E-08-1.47482786289016E-07i</v>
      </c>
      <c r="N80" t="str">
        <f t="shared" ca="1" si="17"/>
        <v>0.0010007946099429+0.000540272527234109i</v>
      </c>
      <c r="O80" t="str">
        <f t="shared" si="18"/>
        <v>-0.0000139367584625963-4.41859980179158E-07i</v>
      </c>
      <c r="P80" t="str">
        <f ca="1">IMSUM(IMPRODUCT(analytical!$D$5,numerical!N80),IMPRODUCT(1-analytical!$D$5,numerical!O80))</f>
        <v>0.00093991072783857+0.000507829664001251i</v>
      </c>
      <c r="Q80" t="str">
        <f t="shared" ca="1" si="19"/>
        <v>823.527265546562-444.948187281684i</v>
      </c>
      <c r="R80">
        <f t="shared" ca="1" si="20"/>
        <v>823.52726554656203</v>
      </c>
      <c r="S80">
        <f t="shared" ca="1" si="21"/>
        <v>-444.948187281684</v>
      </c>
    </row>
    <row r="81" spans="1:19" x14ac:dyDescent="0.15">
      <c r="A81">
        <f t="shared" si="22"/>
        <v>1090</v>
      </c>
      <c r="B81">
        <f t="shared" si="12"/>
        <v>6848.671984825749</v>
      </c>
      <c r="C81" s="5">
        <f>data!O81</f>
        <v>-32.159999999999997</v>
      </c>
      <c r="D81" s="5">
        <f>data!B81</f>
        <v>-32.271999999999998</v>
      </c>
      <c r="E81" s="5">
        <f>data!G81</f>
        <v>1.6365E-10</v>
      </c>
      <c r="F81" s="5">
        <f>data!J81</f>
        <v>2.0540000000000001E-9</v>
      </c>
      <c r="G81" t="str">
        <f t="shared" si="13"/>
        <v>-32.16-32.272i</v>
      </c>
      <c r="H81" t="str">
        <f t="shared" si="14"/>
        <v>0.00000000016365+0.000000002054i</v>
      </c>
      <c r="I81" t="str">
        <f t="shared" ca="1" si="23"/>
        <v>1.59258024702866-5.17556881391418i</v>
      </c>
      <c r="J81" t="str">
        <f ca="1">IMSUB(analytical!$D$5*analytical!$I$10,I81)</f>
        <v>-0.45988024702866+5.17556881391418i</v>
      </c>
      <c r="K81" t="str">
        <f ca="1">IMPRODUCT(analytical!$D$5/numerical!B81^2,IMDIV(numerical!G81,numerical!I81))</f>
        <v>7.91498403306369E-08-1.48885026452861E-07i</v>
      </c>
      <c r="L81" t="str">
        <f t="shared" ca="1" si="15"/>
        <v>2.79199619039516E-10-2.12916548638183E-09i</v>
      </c>
      <c r="M81" t="str">
        <f t="shared" ca="1" si="16"/>
        <v>7.88706407115974E-08-1.46755860966479E-07i</v>
      </c>
      <c r="N81" t="str">
        <f t="shared" ca="1" si="17"/>
        <v>0.00100508275361011+0.000540159147466774i</v>
      </c>
      <c r="O81" t="str">
        <f t="shared" si="18"/>
        <v>-0.0000140671722568321+1.12078517031673E-06i</v>
      </c>
      <c r="P81" t="str">
        <f ca="1">IMSUM(IMPRODUCT(analytical!$D$5,numerical!N81),IMPRODUCT(1-analytical!$D$5,numerical!O81))</f>
        <v>0.000943933758058093+0.000507816845728987i</v>
      </c>
      <c r="Q81" t="str">
        <f t="shared" ca="1" si="19"/>
        <v>821.605785887827-442.006925867953i</v>
      </c>
      <c r="R81">
        <f t="shared" ca="1" si="20"/>
        <v>821.60578588782698</v>
      </c>
      <c r="S81">
        <f t="shared" ca="1" si="21"/>
        <v>-442.00692586795299</v>
      </c>
    </row>
    <row r="82" spans="1:19" x14ac:dyDescent="0.15">
      <c r="A82">
        <f t="shared" si="22"/>
        <v>1100</v>
      </c>
      <c r="B82">
        <f t="shared" si="12"/>
        <v>6911.5038378975451</v>
      </c>
      <c r="C82" s="5">
        <f>data!O82</f>
        <v>-32.302999999999997</v>
      </c>
      <c r="D82" s="5">
        <f>data!B82</f>
        <v>-32.371000000000002</v>
      </c>
      <c r="E82" s="5">
        <f>data!G82</f>
        <v>3.9719999999999998E-10</v>
      </c>
      <c r="F82" s="5">
        <f>data!J82</f>
        <v>2.0509E-9</v>
      </c>
      <c r="G82" t="str">
        <f t="shared" si="13"/>
        <v>-32.303-32.371i</v>
      </c>
      <c r="H82" t="str">
        <f t="shared" si="14"/>
        <v>0.0000000003972+0.0000000020509i</v>
      </c>
      <c r="I82" t="str">
        <f t="shared" ca="1" si="23"/>
        <v>1.59255965644916-5.12878764429877i</v>
      </c>
      <c r="J82" t="str">
        <f ca="1">IMSUB(analytical!$D$5*analytical!$I$10,I82)</f>
        <v>-0.45985965644916+5.12878764429877i</v>
      </c>
      <c r="K82" t="str">
        <f ca="1">IMPRODUCT(analytical!$D$5/numerical!B82^2,IMDIV(numerical!G82,numerical!I82))</f>
        <v>7.81778733040681E-08-1.48215140538218E-07i</v>
      </c>
      <c r="L82" t="str">
        <f t="shared" ca="1" si="15"/>
        <v>4.43291685307805E-11-2.17821076758045E-09i</v>
      </c>
      <c r="M82" t="str">
        <f t="shared" ca="1" si="16"/>
        <v>7.81335441355373E-08-1.46036929770638E-07i</v>
      </c>
      <c r="N82" t="str">
        <f t="shared" ca="1" si="17"/>
        <v>0.00100933480058454+0.000540020290161304i</v>
      </c>
      <c r="O82" t="str">
        <f t="shared" si="18"/>
        <v>-0.0000141748032211441+2.74524932441291E-06i</v>
      </c>
      <c r="P82" t="str">
        <f ca="1">IMSUM(IMPRODUCT(analytical!$D$5,numerical!N82),IMPRODUCT(1-analytical!$D$5,numerical!O82))</f>
        <v>0.000947924224356199+0.000507783787711091i</v>
      </c>
      <c r="Q82" t="str">
        <f t="shared" ca="1" si="19"/>
        <v>819.716675320149-439.105603115802i</v>
      </c>
      <c r="R82">
        <f t="shared" ca="1" si="20"/>
        <v>819.71667532014897</v>
      </c>
      <c r="S82">
        <f t="shared" ca="1" si="21"/>
        <v>-439.10560311580201</v>
      </c>
    </row>
    <row r="83" spans="1:19" x14ac:dyDescent="0.15">
      <c r="A83">
        <f t="shared" si="22"/>
        <v>1110</v>
      </c>
      <c r="B83">
        <f t="shared" si="12"/>
        <v>6974.3356909693412</v>
      </c>
      <c r="C83" s="5">
        <f>data!O83</f>
        <v>-32.444000000000003</v>
      </c>
      <c r="D83" s="5">
        <f>data!B83</f>
        <v>-32.468000000000004</v>
      </c>
      <c r="E83" s="5">
        <f>data!G83</f>
        <v>6.3639999999999999E-10</v>
      </c>
      <c r="F83" s="5">
        <f>data!J83</f>
        <v>2.0441E-9</v>
      </c>
      <c r="G83" t="str">
        <f t="shared" si="13"/>
        <v>-32.444-32.468i</v>
      </c>
      <c r="H83" t="str">
        <f t="shared" si="14"/>
        <v>0.0000000006364+0.0000000020441i</v>
      </c>
      <c r="I83" t="str">
        <f t="shared" ca="1" si="23"/>
        <v>1.59253888547652-5.08285174649566i</v>
      </c>
      <c r="J83" t="str">
        <f ca="1">IMSUB(analytical!$D$5*analytical!$I$10,I83)</f>
        <v>-0.45983888547652+5.08285174649566i</v>
      </c>
      <c r="K83" t="str">
        <f ca="1">IMPRODUCT(analytical!$D$5/numerical!B83^2,IMDIV(numerical!G83,numerical!I83))</f>
        <v>7.72156370643063E-08-1.47545723827531E-07i</v>
      </c>
      <c r="L83" t="str">
        <f t="shared" ca="1" si="15"/>
        <v>-1.97301856055433E-10-2.22564467750558E-09i</v>
      </c>
      <c r="M83" t="str">
        <f t="shared" ca="1" si="16"/>
        <v>7.74129389203617E-08-1.45320079150025E-07i</v>
      </c>
      <c r="N83" t="str">
        <f t="shared" ca="1" si="17"/>
        <v>0.00101351101463051+0.000539903822855108i</v>
      </c>
      <c r="O83" t="str">
        <f t="shared" si="18"/>
        <v>-0.0000142562395859104+4.43846723373289E-06i</v>
      </c>
      <c r="P83" t="str">
        <f ca="1">IMSUM(IMPRODUCT(analytical!$D$5,numerical!N83),IMPRODUCT(1-analytical!$D$5,numerical!O83))</f>
        <v>0.000951844979377524+0.000507775901517826i</v>
      </c>
      <c r="Q83" t="str">
        <f t="shared" ca="1" si="19"/>
        <v>817.844979798735-436.291603061994i</v>
      </c>
      <c r="R83">
        <f t="shared" ca="1" si="20"/>
        <v>817.84497979873504</v>
      </c>
      <c r="S83">
        <f t="shared" ca="1" si="21"/>
        <v>-436.29160306199401</v>
      </c>
    </row>
    <row r="84" spans="1:19" x14ac:dyDescent="0.15">
      <c r="A84">
        <f t="shared" si="22"/>
        <v>1120</v>
      </c>
      <c r="B84">
        <f t="shared" si="12"/>
        <v>7037.1675440411364</v>
      </c>
      <c r="C84" s="5">
        <f>data!O84</f>
        <v>-32.584000000000003</v>
      </c>
      <c r="D84" s="5">
        <f>data!B84</f>
        <v>-32.561</v>
      </c>
      <c r="E84" s="5">
        <f>data!G84</f>
        <v>8.8218000000000005E-10</v>
      </c>
      <c r="F84" s="5">
        <f>data!J84</f>
        <v>2.0332E-9</v>
      </c>
      <c r="G84" t="str">
        <f t="shared" si="13"/>
        <v>-32.584-32.561i</v>
      </c>
      <c r="H84" t="str">
        <f t="shared" si="14"/>
        <v>0.00000000088218+0.0000000020332i</v>
      </c>
      <c r="I84" t="str">
        <f t="shared" ca="1" si="23"/>
        <v>1.59251793431352-5.0377384774304i</v>
      </c>
      <c r="J84" t="str">
        <f ca="1">IMSUB(analytical!$D$5*analytical!$I$10,I84)</f>
        <v>-0.45981793431352+5.0377384774304i</v>
      </c>
      <c r="K84" t="str">
        <f ca="1">IMPRODUCT(analytical!$D$5/numerical!B84^2,IMDIV(numerical!G84,numerical!I84))</f>
        <v>7.62550455985503E-08-1.46877993650933E-07i</v>
      </c>
      <c r="L84" t="str">
        <f t="shared" ca="1" si="15"/>
        <v>-4.46761318108418E-10-2.27129465502081E-09i</v>
      </c>
      <c r="M84" t="str">
        <f t="shared" ca="1" si="16"/>
        <v>7.67018069166587E-08-1.44606698995912E-07i</v>
      </c>
      <c r="N84" t="str">
        <f t="shared" ca="1" si="17"/>
        <v>0.00101762156882496+0.000539763466203221i</v>
      </c>
      <c r="O84" t="str">
        <f t="shared" si="18"/>
        <v>-0.0000143079690505444+6.20804846400221E-06i</v>
      </c>
      <c r="P84" t="str">
        <f ca="1">IMSUM(IMPRODUCT(analytical!$D$5,numerical!N84),IMPRODUCT(1-analytical!$D$5,numerical!O84))</f>
        <v>0.000955705796552429+0.000507750141138868i</v>
      </c>
      <c r="Q84" t="str">
        <f t="shared" ca="1" si="19"/>
        <v>816.016936568142-433.535839385747i</v>
      </c>
      <c r="R84">
        <f t="shared" ca="1" si="20"/>
        <v>816.016936568142</v>
      </c>
      <c r="S84">
        <f t="shared" ca="1" si="21"/>
        <v>-433.53583938574701</v>
      </c>
    </row>
    <row r="85" spans="1:19" x14ac:dyDescent="0.15">
      <c r="A85">
        <f t="shared" si="22"/>
        <v>1130</v>
      </c>
      <c r="B85">
        <f t="shared" si="12"/>
        <v>7099.9993971129325</v>
      </c>
      <c r="C85" s="5">
        <f>data!O85</f>
        <v>-32.722999999999999</v>
      </c>
      <c r="D85" s="5">
        <f>data!B85</f>
        <v>-32.651000000000003</v>
      </c>
      <c r="E85" s="5">
        <f>data!G85</f>
        <v>1.1355000000000001E-9</v>
      </c>
      <c r="F85" s="5">
        <f>data!J85</f>
        <v>2.0175000000000001E-9</v>
      </c>
      <c r="G85" t="str">
        <f t="shared" si="13"/>
        <v>-32.723-32.651i</v>
      </c>
      <c r="H85" t="str">
        <f t="shared" si="14"/>
        <v>0.0000000011355+0.0000000020175i</v>
      </c>
      <c r="I85" t="str">
        <f t="shared" ca="1" si="23"/>
        <v>1.59249680316453-4.9934259955386i</v>
      </c>
      <c r="J85" t="str">
        <f ca="1">IMSUB(analytical!$D$5*analytical!$I$10,I85)</f>
        <v>-0.45979680316453+4.9934259955386i</v>
      </c>
      <c r="K85" t="str">
        <f ca="1">IMPRODUCT(analytical!$D$5/numerical!B85^2,IMDIV(numerical!G85,numerical!I85))</f>
        <v>7.52995632931109E-08-1.46212894618126E-07i</v>
      </c>
      <c r="L85" t="str">
        <f t="shared" ca="1" si="15"/>
        <v>-7.05219699844964E-10-2.31469522384067E-09i</v>
      </c>
      <c r="M85" t="str">
        <f t="shared" ca="1" si="16"/>
        <v>7.60047829929559E-08-1.43898199394285E-07i</v>
      </c>
      <c r="N85" t="str">
        <f t="shared" ca="1" si="17"/>
        <v>0.00102167712894506+0.000539633913427686i</v>
      </c>
      <c r="O85" t="str">
        <f t="shared" si="18"/>
        <v>-0.0000143242487836753+8.06204931542173E-06i</v>
      </c>
      <c r="P85" t="str">
        <f ca="1">IMSUM(IMPRODUCT(analytical!$D$5,numerical!N85),IMPRODUCT(1-analytical!$D$5,numerical!O85))</f>
        <v>0.000959517046281336+0.00050773960158095i</v>
      </c>
      <c r="Q85" t="str">
        <f t="shared" ca="1" si="19"/>
        <v>814.20404352445-430.845536582047i</v>
      </c>
      <c r="R85">
        <f t="shared" ca="1" si="20"/>
        <v>814.20404352444996</v>
      </c>
      <c r="S85">
        <f t="shared" ca="1" si="21"/>
        <v>-430.84553658204698</v>
      </c>
    </row>
    <row r="86" spans="1:19" x14ac:dyDescent="0.15">
      <c r="A86">
        <f t="shared" si="22"/>
        <v>1140</v>
      </c>
      <c r="B86">
        <f t="shared" si="12"/>
        <v>7162.8312501847286</v>
      </c>
      <c r="C86" s="5">
        <f>data!O86</f>
        <v>-32.860999999999997</v>
      </c>
      <c r="D86" s="5">
        <f>data!B86</f>
        <v>-32.737000000000002</v>
      </c>
      <c r="E86" s="5">
        <f>data!G86</f>
        <v>1.3976E-9</v>
      </c>
      <c r="F86" s="5">
        <f>data!J86</f>
        <v>1.9961000000000002E-9</v>
      </c>
      <c r="G86" t="str">
        <f t="shared" si="13"/>
        <v>-32.861-32.737i</v>
      </c>
      <c r="H86" t="str">
        <f t="shared" si="14"/>
        <v>0.0000000013976+0.0000000019961i</v>
      </c>
      <c r="I86" t="str">
        <f t="shared" ca="1" si="23"/>
        <v>1.5924754922355-4.94989322561216i</v>
      </c>
      <c r="J86" t="str">
        <f ca="1">IMSUB(analytical!$D$5*analytical!$I$10,I86)</f>
        <v>-0.4597754922355+4.94989322561216i</v>
      </c>
      <c r="K86" t="str">
        <f ca="1">IMPRODUCT(analytical!$D$5/numerical!B86^2,IMDIV(numerical!G86,numerical!I86))</f>
        <v>7.43458025318618E-08-1.45549211902439E-07i</v>
      </c>
      <c r="L86" t="str">
        <f t="shared" ca="1" si="15"/>
        <v>-9.74185676686391E-10-2.35524654476234E-09i</v>
      </c>
      <c r="M86" t="str">
        <f t="shared" ca="1" si="16"/>
        <v>7.53199882085482E-08-1.43193965357677E-07i</v>
      </c>
      <c r="N86" t="str">
        <f t="shared" ca="1" si="17"/>
        <v>0.00102567420990184+0.000539504365303735i</v>
      </c>
      <c r="O86" t="str">
        <f t="shared" si="18"/>
        <v>-0.0000142977274584937+0.0000100107729552582i</v>
      </c>
      <c r="P86" t="str">
        <f ca="1">IMSUM(IMPRODUCT(analytical!$D$5,numerical!N86),IMPRODUCT(1-analytical!$D$5,numerical!O86))</f>
        <v>0.000963275893660219+0.000507734749762827i</v>
      </c>
      <c r="Q86" t="str">
        <f t="shared" ca="1" si="19"/>
        <v>812.41455402151-428.216986436172i</v>
      </c>
      <c r="R86">
        <f t="shared" ca="1" si="20"/>
        <v>812.41455402150996</v>
      </c>
      <c r="S86">
        <f t="shared" ca="1" si="21"/>
        <v>-428.21698643617202</v>
      </c>
    </row>
    <row r="87" spans="1:19" x14ac:dyDescent="0.15">
      <c r="A87">
        <f t="shared" si="22"/>
        <v>1150</v>
      </c>
      <c r="B87">
        <f t="shared" si="12"/>
        <v>7225.6631032565238</v>
      </c>
      <c r="C87" s="5">
        <f>data!O87</f>
        <v>-32.997999999999998</v>
      </c>
      <c r="D87" s="5">
        <f>data!B87</f>
        <v>-32.819000000000003</v>
      </c>
      <c r="E87" s="5">
        <f>data!G87</f>
        <v>1.6695999999999999E-9</v>
      </c>
      <c r="F87" s="5">
        <f>data!J87</f>
        <v>1.9681999999999999E-9</v>
      </c>
      <c r="G87" t="str">
        <f t="shared" si="13"/>
        <v>-32.998-32.819i</v>
      </c>
      <c r="H87" t="str">
        <f t="shared" si="14"/>
        <v>0.0000000016696+0.0000000019682i</v>
      </c>
      <c r="I87" t="str">
        <f t="shared" ca="1" si="23"/>
        <v>1.59245400173392-4.9071198254794i</v>
      </c>
      <c r="J87" t="str">
        <f ca="1">IMSUB(analytical!$D$5*analytical!$I$10,I87)</f>
        <v>-0.45975400173392+4.9071198254794i</v>
      </c>
      <c r="K87" t="str">
        <f ca="1">IMPRODUCT(analytical!$D$5/numerical!B87^2,IMDIV(numerical!G87,numerical!I87))</f>
        <v>7.33938357692715E-08-1.4488682149229E-07i</v>
      </c>
      <c r="L87" t="str">
        <f t="shared" ca="1" si="15"/>
        <v>-1.25503136977566E-09-2.39243164315854E-09i</v>
      </c>
      <c r="M87" t="str">
        <f t="shared" ca="1" si="16"/>
        <v>7.46488671390472E-08-1.42494389849131E-07i</v>
      </c>
      <c r="N87" t="str">
        <f t="shared" ca="1" si="17"/>
        <v>0.00102961645515392+0.000539387564986511i</v>
      </c>
      <c r="O87" t="str">
        <f t="shared" si="18"/>
        <v>-0.0000142215501198295+0.0000120639671171971i</v>
      </c>
      <c r="P87" t="str">
        <f ca="1">IMSUM(IMPRODUCT(analytical!$D$5,numerical!N87),IMPRODUCT(1-analytical!$D$5,numerical!O87))</f>
        <v>0.000966986174837495+0.000507748149114352i</v>
      </c>
      <c r="Q87" t="str">
        <f t="shared" ca="1" si="19"/>
        <v>810.638052676418-425.652384241465i</v>
      </c>
      <c r="R87">
        <f t="shared" ca="1" si="20"/>
        <v>810.63805267641806</v>
      </c>
      <c r="S87">
        <f t="shared" ca="1" si="21"/>
        <v>-425.65238424146497</v>
      </c>
    </row>
    <row r="88" spans="1:19" x14ac:dyDescent="0.15">
      <c r="A88">
        <f t="shared" si="22"/>
        <v>1160</v>
      </c>
      <c r="B88">
        <f t="shared" si="12"/>
        <v>7288.4949563283199</v>
      </c>
      <c r="C88" s="5">
        <f>data!O88</f>
        <v>-33.134</v>
      </c>
      <c r="D88" s="5">
        <f>data!B88</f>
        <v>-32.896999999999998</v>
      </c>
      <c r="E88" s="5">
        <f>data!G88</f>
        <v>1.9528000000000001E-9</v>
      </c>
      <c r="F88" s="5">
        <f>data!J88</f>
        <v>1.9326000000000001E-9</v>
      </c>
      <c r="G88" t="str">
        <f t="shared" si="13"/>
        <v>-33.134-32.897i</v>
      </c>
      <c r="H88" t="str">
        <f t="shared" si="14"/>
        <v>0.0000000019528+0.0000000019326i</v>
      </c>
      <c r="I88" t="str">
        <f t="shared" ca="1" si="23"/>
        <v>1.59243233186888-4.86508615440865i</v>
      </c>
      <c r="J88" t="str">
        <f ca="1">IMSUB(analytical!$D$5*analytical!$I$10,I88)</f>
        <v>-0.45973233186888+4.86508615440865i</v>
      </c>
      <c r="K88" t="str">
        <f ca="1">IMPRODUCT(analytical!$D$5/numerical!B88^2,IMDIV(numerical!G88,numerical!I88))</f>
        <v>7.2443733444013E-08-1.44225605181177E-07i</v>
      </c>
      <c r="L88" t="str">
        <f t="shared" ca="1" si="15"/>
        <v>-1.54941310192462E-09-2.42537371113461E-09i</v>
      </c>
      <c r="M88" t="str">
        <f t="shared" ca="1" si="16"/>
        <v>7.39931465459376E-08-1.41800231470042E-07i</v>
      </c>
      <c r="N88" t="str">
        <f t="shared" ca="1" si="17"/>
        <v>0.00103351027187559+0.000539298675402928i</v>
      </c>
      <c r="O88" t="str">
        <f t="shared" si="18"/>
        <v>-0.0000140857453526001+0.0000142329729507179i</v>
      </c>
      <c r="P88" t="str">
        <f ca="1">IMSUM(IMPRODUCT(analytical!$D$5,numerical!N88),IMPRODUCT(1-analytical!$D$5,numerical!O88))</f>
        <v>0.000970654510841899+0.000507794733255795i</v>
      </c>
      <c r="Q88" t="str">
        <f t="shared" ca="1" si="19"/>
        <v>808.861455776253-423.153225569976i</v>
      </c>
      <c r="R88">
        <f t="shared" ca="1" si="20"/>
        <v>808.86145577625302</v>
      </c>
      <c r="S88">
        <f t="shared" ca="1" si="21"/>
        <v>-423.15322556997597</v>
      </c>
    </row>
    <row r="89" spans="1:19" x14ac:dyDescent="0.15">
      <c r="A89">
        <f t="shared" si="22"/>
        <v>1170</v>
      </c>
      <c r="B89">
        <f t="shared" si="12"/>
        <v>7351.326809400116</v>
      </c>
      <c r="C89" s="5">
        <f>data!O89</f>
        <v>-33.268999999999998</v>
      </c>
      <c r="D89" s="5">
        <f>data!B89</f>
        <v>-32.97</v>
      </c>
      <c r="E89" s="5">
        <f>data!G89</f>
        <v>2.2486999999999999E-9</v>
      </c>
      <c r="F89" s="5">
        <f>data!J89</f>
        <v>1.8878E-9</v>
      </c>
      <c r="G89" t="str">
        <f t="shared" si="13"/>
        <v>-33.269-32.97i</v>
      </c>
      <c r="H89" t="str">
        <f t="shared" si="14"/>
        <v>0.0000000022487+0.0000000018878i</v>
      </c>
      <c r="I89" t="str">
        <f t="shared" ca="1" si="23"/>
        <v>1.592410482851-4.82377324313231i</v>
      </c>
      <c r="J89" t="str">
        <f ca="1">IMSUB(analytical!$D$5*analytical!$I$10,I89)</f>
        <v>-0.459710482851+4.82377324313231i</v>
      </c>
      <c r="K89" t="str">
        <f ca="1">IMPRODUCT(analytical!$D$5/numerical!B89^2,IMDIV(numerical!G89,numerical!I89))</f>
        <v>7.14923125200474E-08-1.43564376935354E-07i</v>
      </c>
      <c r="L89" t="str">
        <f t="shared" ca="1" si="15"/>
        <v>-1.85927280921281E-09-2.45294394738463E-09i</v>
      </c>
      <c r="M89" t="str">
        <f t="shared" ca="1" si="16"/>
        <v>7.33515853292602E-08-1.41111432987969E-07i</v>
      </c>
      <c r="N89" t="str">
        <f t="shared" ca="1" si="17"/>
        <v>0.00103735626043732+0.000539231475742991i</v>
      </c>
      <c r="O89" t="str">
        <f t="shared" si="18"/>
        <v>-0.0000138778347507855+0.000016530928596298i</v>
      </c>
      <c r="P89" t="str">
        <f ca="1">IMSUM(IMPRODUCT(analytical!$D$5,numerical!N89),IMPRODUCT(1-analytical!$D$5,numerical!O89))</f>
        <v>0.000974282214726034+0.00050786944291419i</v>
      </c>
      <c r="Q89" t="str">
        <f t="shared" ca="1" si="19"/>
        <v>807.088099800759-420.715248039035i</v>
      </c>
      <c r="R89">
        <f t="shared" ca="1" si="20"/>
        <v>807.08809980075898</v>
      </c>
      <c r="S89">
        <f t="shared" ca="1" si="21"/>
        <v>-420.71524803903498</v>
      </c>
    </row>
    <row r="90" spans="1:19" x14ac:dyDescent="0.15">
      <c r="A90">
        <f t="shared" si="22"/>
        <v>1180</v>
      </c>
      <c r="B90">
        <f t="shared" si="12"/>
        <v>7414.1586624719121</v>
      </c>
      <c r="C90" s="5">
        <f>data!O90</f>
        <v>-33.404000000000003</v>
      </c>
      <c r="D90" s="5">
        <f>data!B90</f>
        <v>-33.037999999999997</v>
      </c>
      <c r="E90" s="5">
        <f>data!G90</f>
        <v>2.5588999999999999E-9</v>
      </c>
      <c r="F90" s="5">
        <f>data!J90</f>
        <v>1.8321999999999999E-9</v>
      </c>
      <c r="G90" t="str">
        <f t="shared" si="13"/>
        <v>-33.404-33.038i</v>
      </c>
      <c r="H90" t="str">
        <f t="shared" si="14"/>
        <v>0.0000000025589+0.0000000018322i</v>
      </c>
      <c r="I90" t="str">
        <f t="shared" ca="1" si="23"/>
        <v>1.59238845489242-4.78316276539501i</v>
      </c>
      <c r="J90" t="str">
        <f ca="1">IMSUB(analytical!$D$5*analytical!$I$10,I90)</f>
        <v>-0.45968845489242+4.78316276539501i</v>
      </c>
      <c r="K90" t="str">
        <f ca="1">IMPRODUCT(analytical!$D$5/numerical!B90^2,IMDIV(numerical!G90,numerical!I90))</f>
        <v>7.05386675005647E-08-1.42906253611072E-07i</v>
      </c>
      <c r="L90" t="str">
        <f t="shared" ca="1" si="15"/>
        <v>-2.18669216361867E-09-2.47394393090123E-09i</v>
      </c>
      <c r="M90" t="str">
        <f t="shared" ca="1" si="16"/>
        <v>7.27253596641834E-08-1.40432309680171E-07i</v>
      </c>
      <c r="N90" t="str">
        <f t="shared" ca="1" si="17"/>
        <v>0.00104118742530618+0.000539197355335591i</v>
      </c>
      <c r="O90" t="str">
        <f t="shared" si="18"/>
        <v>-0.000013584221501381+0.0000189720906013994i</v>
      </c>
      <c r="P90" t="str">
        <f ca="1">IMSUM(IMPRODUCT(analytical!$D$5,numerical!N90),IMPRODUCT(1-analytical!$D$5,numerical!O90))</f>
        <v>0.000977901126497726+0.000507983839451539i</v>
      </c>
      <c r="Q90" t="str">
        <f t="shared" ca="1" si="19"/>
        <v>805.29553550081-418.321553102164i</v>
      </c>
      <c r="R90">
        <f t="shared" ca="1" si="20"/>
        <v>805.29553550081005</v>
      </c>
      <c r="S90">
        <f t="shared" ca="1" si="21"/>
        <v>-418.32155310216399</v>
      </c>
    </row>
    <row r="91" spans="1:19" x14ac:dyDescent="0.15">
      <c r="A91">
        <f t="shared" si="22"/>
        <v>1190</v>
      </c>
      <c r="B91">
        <f t="shared" si="12"/>
        <v>7476.9905155437073</v>
      </c>
      <c r="C91" s="5">
        <f>data!O91</f>
        <v>-33.537999999999997</v>
      </c>
      <c r="D91" s="5">
        <f>data!B91</f>
        <v>-33.098999999999997</v>
      </c>
      <c r="E91" s="5">
        <f>data!G91</f>
        <v>2.8850999999999999E-9</v>
      </c>
      <c r="F91" s="5">
        <f>data!J91</f>
        <v>1.7636E-9</v>
      </c>
      <c r="G91" t="str">
        <f t="shared" si="13"/>
        <v>-33.538-33.099i</v>
      </c>
      <c r="H91" t="str">
        <f t="shared" si="14"/>
        <v>0.0000000028851+0.0000000017636i</v>
      </c>
      <c r="I91" t="str">
        <f t="shared" ca="1" si="23"/>
        <v>1.59236624820688-4.74323701093643i</v>
      </c>
      <c r="J91" t="str">
        <f ca="1">IMSUB(analytical!$D$5*analytical!$I$10,I91)</f>
        <v>-0.45966624820688+4.74323701093643i</v>
      </c>
      <c r="K91" t="str">
        <f ca="1">IMPRODUCT(analytical!$D$5/numerical!B91^2,IMDIV(numerical!G91,numerical!I91))</f>
        <v>6.95776630402546E-08-1.42245716193256E-07i</v>
      </c>
      <c r="L91" t="str">
        <f t="shared" ca="1" si="15"/>
        <v>-2.53401204588325E-09-2.4865948755992E-09i</v>
      </c>
      <c r="M91" t="str">
        <f t="shared" ca="1" si="16"/>
        <v>7.21116750861379E-08-1.39759121317657E-07i</v>
      </c>
      <c r="N91" t="str">
        <f t="shared" ca="1" si="17"/>
        <v>0.00104497762455284+0.000539178310679023i</v>
      </c>
      <c r="O91" t="str">
        <f t="shared" si="18"/>
        <v>-0.0000131864204732129+0.0000215718653363952i</v>
      </c>
      <c r="P91" t="str">
        <f ca="1">IMSUM(IMPRODUCT(analytical!$D$5,numerical!N91),IMPRODUCT(1-analytical!$D$5,numerical!O91))</f>
        <v>0.000981487781851277+0.000508121923958466i</v>
      </c>
      <c r="Q91" t="str">
        <f t="shared" ca="1" si="19"/>
        <v>803.506210269519-415.979830848867i</v>
      </c>
      <c r="R91">
        <f t="shared" ca="1" si="20"/>
        <v>803.50621026951899</v>
      </c>
      <c r="S91">
        <f t="shared" ca="1" si="21"/>
        <v>-415.97983084886698</v>
      </c>
    </row>
    <row r="92" spans="1:19" x14ac:dyDescent="0.15">
      <c r="A92">
        <f t="shared" si="22"/>
        <v>1200</v>
      </c>
      <c r="B92">
        <f t="shared" si="12"/>
        <v>7539.8223686155034</v>
      </c>
      <c r="C92" s="5">
        <f>data!O92</f>
        <v>-33.671999999999997</v>
      </c>
      <c r="D92" s="5">
        <f>data!B92</f>
        <v>-33.154000000000003</v>
      </c>
      <c r="E92" s="5">
        <f>data!G92</f>
        <v>3.2289999999999999E-9</v>
      </c>
      <c r="F92" s="5">
        <f>data!J92</f>
        <v>1.6793E-9</v>
      </c>
      <c r="G92" t="str">
        <f t="shared" si="13"/>
        <v>-33.672-33.154i</v>
      </c>
      <c r="H92" t="str">
        <f t="shared" si="14"/>
        <v>0.000000003229+0.0000000016793i</v>
      </c>
      <c r="I92" t="str">
        <f t="shared" ca="1" si="23"/>
        <v>1.59234386300959-4.70397885982476i</v>
      </c>
      <c r="J92" t="str">
        <f ca="1">IMSUB(analytical!$D$5*analytical!$I$10,I92)</f>
        <v>-0.45964386300959+4.70397885982476i</v>
      </c>
      <c r="K92" t="str">
        <f ca="1">IMPRODUCT(analytical!$D$5/numerical!B92^2,IMDIV(numerical!G92,numerical!I92))</f>
        <v>6.8611733894119E-08-1.41586907762629E-07i</v>
      </c>
      <c r="L92" t="str">
        <f t="shared" ca="1" si="15"/>
        <v>-2.90371239098677E-09-2.48861587208234E-09i</v>
      </c>
      <c r="M92" t="str">
        <f t="shared" ca="1" si="16"/>
        <v>7.15154462851058E-08-1.39098291890547E-07i</v>
      </c>
      <c r="N92" t="str">
        <f t="shared" ca="1" si="17"/>
        <v>0.00104877641263255+0.000539213761601961i</v>
      </c>
      <c r="O92" t="str">
        <f t="shared" si="18"/>
        <v>-0.000012661623703616+0.0000243460864282594i</v>
      </c>
      <c r="P92" t="str">
        <f ca="1">IMSUM(IMPRODUCT(analytical!$D$5,numerical!N92),IMPRODUCT(1-analytical!$D$5,numerical!O92))</f>
        <v>0.00098509013045238+0.000508321701091539i</v>
      </c>
      <c r="Q92" t="str">
        <f t="shared" ca="1" si="19"/>
        <v>801.67263001624-413.675441881896i</v>
      </c>
      <c r="R92">
        <f t="shared" ca="1" si="20"/>
        <v>801.67263001623996</v>
      </c>
      <c r="S92">
        <f t="shared" ca="1" si="21"/>
        <v>-413.67544188189601</v>
      </c>
    </row>
    <row r="93" spans="1:19" x14ac:dyDescent="0.15">
      <c r="A93">
        <f t="shared" si="22"/>
        <v>1210</v>
      </c>
      <c r="B93">
        <f t="shared" si="12"/>
        <v>7602.6542216872995</v>
      </c>
      <c r="C93" s="5">
        <f>data!O93</f>
        <v>-33.807000000000002</v>
      </c>
      <c r="D93" s="5">
        <f>data!B93</f>
        <v>-33.201999999999998</v>
      </c>
      <c r="E93" s="5">
        <f>data!G93</f>
        <v>3.5928999999999999E-9</v>
      </c>
      <c r="F93" s="5">
        <f>data!J93</f>
        <v>1.5762E-9</v>
      </c>
      <c r="G93" t="str">
        <f t="shared" si="13"/>
        <v>-33.807-33.202i</v>
      </c>
      <c r="H93" t="str">
        <f t="shared" si="14"/>
        <v>0.0000000035929+0.0000000015762i</v>
      </c>
      <c r="I93" t="str">
        <f t="shared" ca="1" si="23"/>
        <v>1.59232129951735-4.66537175806308i</v>
      </c>
      <c r="J93" t="str">
        <f ca="1">IMSUB(analytical!$D$5*analytical!$I$10,I93)</f>
        <v>-0.45962129951735+4.66537175806308i</v>
      </c>
      <c r="K93" t="str">
        <f ca="1">IMPRODUCT(analytical!$D$5/numerical!B93^2,IMDIV(numerical!G93,numerical!I93))</f>
        <v>6.76369413170461E-08-1.4093171085805E-07i</v>
      </c>
      <c r="L93" t="str">
        <f t="shared" ca="1" si="15"/>
        <v>-3.29900721757595E-09-2.47746948732639E-09i</v>
      </c>
      <c r="M93" t="str">
        <f t="shared" ca="1" si="16"/>
        <v>7.0935948534622E-08-1.38454241370724E-07i</v>
      </c>
      <c r="N93" t="str">
        <f t="shared" ca="1" si="17"/>
        <v>0.00105261972266765+0.000539301488596137i</v>
      </c>
      <c r="O93" t="str">
        <f t="shared" si="18"/>
        <v>-0.0000119833035842235+0.0000273155763531003i</v>
      </c>
      <c r="P93" t="str">
        <f ca="1">IMSUM(IMPRODUCT(analytical!$D$5,numerical!N93),IMPRODUCT(1-analytical!$D$5,numerical!O93))</f>
        <v>0.000988743541092538+0.000508582333861555i</v>
      </c>
      <c r="Q93" t="str">
        <f t="shared" ca="1" si="19"/>
        <v>799.779754219987-411.384587682837i</v>
      </c>
      <c r="R93">
        <f t="shared" ca="1" si="20"/>
        <v>799.77975421998701</v>
      </c>
      <c r="S93">
        <f t="shared" ca="1" si="21"/>
        <v>-411.38458768283698</v>
      </c>
    </row>
    <row r="94" spans="1:19" x14ac:dyDescent="0.15">
      <c r="A94">
        <f t="shared" si="22"/>
        <v>1220</v>
      </c>
      <c r="B94">
        <f t="shared" si="12"/>
        <v>7665.4860747590956</v>
      </c>
      <c r="C94" s="5">
        <f>data!O94</f>
        <v>-33.942</v>
      </c>
      <c r="D94" s="5">
        <f>data!B94</f>
        <v>-33.241</v>
      </c>
      <c r="E94" s="5">
        <f>data!G94</f>
        <v>3.9786000000000003E-9</v>
      </c>
      <c r="F94" s="5">
        <f>data!J94</f>
        <v>1.4502E-9</v>
      </c>
      <c r="G94" t="str">
        <f t="shared" si="13"/>
        <v>-33.942-33.241i</v>
      </c>
      <c r="H94" t="str">
        <f t="shared" si="14"/>
        <v>0.0000000039786+0.0000000014502i</v>
      </c>
      <c r="I94" t="str">
        <f t="shared" ca="1" si="23"/>
        <v>1.59229855794841-4.62739969439532i</v>
      </c>
      <c r="J94" t="str">
        <f ca="1">IMSUB(analytical!$D$5*analytical!$I$10,I94)</f>
        <v>-0.45959855794841+4.62739969439532i</v>
      </c>
      <c r="K94" t="str">
        <f ca="1">IMPRODUCT(analytical!$D$5/numerical!B94^2,IMDIV(numerical!G94,numerical!I94))</f>
        <v>6.66485076466681E-08-1.40274653231843E-07i</v>
      </c>
      <c r="L94" t="str">
        <f t="shared" ca="1" si="15"/>
        <v>-3.72286862035578E-09-2.44948562447444E-09i</v>
      </c>
      <c r="M94" t="str">
        <f t="shared" ca="1" si="16"/>
        <v>7.03713762670239E-08-1.37825167607369E-07i</v>
      </c>
      <c r="N94" t="str">
        <f t="shared" ca="1" si="17"/>
        <v>0.00105649690304563+0.000539430804836505i</v>
      </c>
      <c r="O94" t="str">
        <f t="shared" si="18"/>
        <v>-0.0000111164879056156+0.0000304979028970366i</v>
      </c>
      <c r="P94" t="str">
        <f ca="1">IMSUM(IMPRODUCT(analytical!$D$5,numerical!N94),IMPRODUCT(1-analytical!$D$5,numerical!O94))</f>
        <v>0.000992440099588555+0.000508894830720137i</v>
      </c>
      <c r="Q94" t="str">
        <f t="shared" ca="1" si="19"/>
        <v>797.838318202071-409.108616280023i</v>
      </c>
      <c r="R94">
        <f t="shared" ca="1" si="20"/>
        <v>797.83831820207104</v>
      </c>
      <c r="S94">
        <f t="shared" ca="1" si="21"/>
        <v>-409.108616280023</v>
      </c>
    </row>
    <row r="95" spans="1:19" x14ac:dyDescent="0.15">
      <c r="A95">
        <f t="shared" si="22"/>
        <v>1230</v>
      </c>
      <c r="B95">
        <f t="shared" si="12"/>
        <v>7728.3179278308908</v>
      </c>
      <c r="C95" s="5">
        <f>data!O95</f>
        <v>-34.079000000000001</v>
      </c>
      <c r="D95" s="5">
        <f>data!B95</f>
        <v>-33.271000000000001</v>
      </c>
      <c r="E95" s="5">
        <f>data!G95</f>
        <v>4.3884000000000003E-9</v>
      </c>
      <c r="F95" s="5">
        <f>data!J95</f>
        <v>1.2963E-9</v>
      </c>
      <c r="G95" t="str">
        <f t="shared" si="13"/>
        <v>-34.079-33.271i</v>
      </c>
      <c r="H95" t="str">
        <f t="shared" si="14"/>
        <v>0.0000000043884+0.0000000012963i</v>
      </c>
      <c r="I95" t="str">
        <f t="shared" ca="1" si="23"/>
        <v>1.59227563852259-4.59004717824373i</v>
      </c>
      <c r="J95" t="str">
        <f ca="1">IMSUB(analytical!$D$5*analytical!$I$10,I95)</f>
        <v>-0.45957563852259+4.59004717824373i</v>
      </c>
      <c r="K95" t="str">
        <f ca="1">IMPRODUCT(analytical!$D$5/numerical!B95^2,IMDIV(numerical!G95,numerical!I95))</f>
        <v>6.56448181922771E-08-1.39621715780825E-07i</v>
      </c>
      <c r="L95" t="str">
        <f t="shared" ca="1" si="15"/>
        <v>-4.17903552437076E-09-2.40020139704621E-09i</v>
      </c>
      <c r="M95" t="str">
        <f t="shared" ca="1" si="16"/>
        <v>6.98238537166479E-08-1.37221514383779E-07i</v>
      </c>
      <c r="N95" t="str">
        <f t="shared" ca="1" si="17"/>
        <v>0.00106049148969626+0.000539620940468611i</v>
      </c>
      <c r="O95" t="str">
        <f t="shared" si="18"/>
        <v>-0.0000100182185298472+0.0000339149503944931i</v>
      </c>
      <c r="P95" t="str">
        <f ca="1">IMSUM(IMPRODUCT(analytical!$D$5,numerical!N95),IMPRODUCT(1-analytical!$D$5,numerical!O95))</f>
        <v>0.000996260907202693+0.000509278581064164i</v>
      </c>
      <c r="Q95" t="str">
        <f t="shared" ca="1" si="19"/>
        <v>795.798813395219-406.804369787448i</v>
      </c>
      <c r="R95">
        <f t="shared" ca="1" si="20"/>
        <v>795.79881339521899</v>
      </c>
      <c r="S95">
        <f t="shared" ca="1" si="21"/>
        <v>-406.80436978744802</v>
      </c>
    </row>
    <row r="96" spans="1:19" x14ac:dyDescent="0.15">
      <c r="A96">
        <f t="shared" si="22"/>
        <v>1240</v>
      </c>
      <c r="B96">
        <f t="shared" si="12"/>
        <v>7791.1497809026869</v>
      </c>
      <c r="C96" s="5">
        <f>data!O96</f>
        <v>-34.219000000000001</v>
      </c>
      <c r="D96" s="5">
        <f>data!B96</f>
        <v>-33.29</v>
      </c>
      <c r="E96" s="5">
        <f>data!G96</f>
        <v>4.8241999999999999E-9</v>
      </c>
      <c r="F96" s="5">
        <f>data!J96</f>
        <v>1.1080000000000001E-9</v>
      </c>
      <c r="G96" t="str">
        <f t="shared" si="13"/>
        <v>-34.219-33.29i</v>
      </c>
      <c r="H96" t="str">
        <f t="shared" si="14"/>
        <v>0.0000000048242+0.000000001108i</v>
      </c>
      <c r="I96" t="str">
        <f t="shared" ca="1" si="23"/>
        <v>1.59225254146119-4.55329921871374i</v>
      </c>
      <c r="J96" t="str">
        <f ca="1">IMSUB(analytical!$D$5*analytical!$I$10,I96)</f>
        <v>-0.45955254146119+4.55329921871374i</v>
      </c>
      <c r="K96" t="str">
        <f ca="1">IMPRODUCT(analytical!$D$5/numerical!B96^2,IMDIV(numerical!G96,numerical!I96))</f>
        <v>6.46192578974482E-08-1.38973495648052E-07i</v>
      </c>
      <c r="L96" t="str">
        <f t="shared" ca="1" si="15"/>
        <v>-4.6712487423866E-09-2.32352751385388E-09i</v>
      </c>
      <c r="M96" t="str">
        <f t="shared" ca="1" si="16"/>
        <v>6.92905066398348E-08-1.36649968134198E-07i</v>
      </c>
      <c r="N96" t="str">
        <f t="shared" ca="1" si="17"/>
        <v>0.00106466036928912+0.000539852715625585i</v>
      </c>
      <c r="O96" t="str">
        <f t="shared" si="18"/>
        <v>-8.63259395724018E-06+0.0000375860647730308i</v>
      </c>
      <c r="P96" t="str">
        <f ca="1">IMSUM(IMPRODUCT(analytical!$D$5,numerical!N96),IMPRODUCT(1-analytical!$D$5,numerical!O96))</f>
        <v>0.00100026279149434+0.000509716716574432i</v>
      </c>
      <c r="Q96" t="str">
        <f t="shared" ca="1" si="19"/>
        <v>793.64722574542-404.428977530003i</v>
      </c>
      <c r="R96">
        <f t="shared" ca="1" si="20"/>
        <v>793.64722574541997</v>
      </c>
      <c r="S96">
        <f t="shared" ca="1" si="21"/>
        <v>-404.42897753000301</v>
      </c>
    </row>
    <row r="97" spans="1:19" x14ac:dyDescent="0.15">
      <c r="A97">
        <f t="shared" si="22"/>
        <v>1250</v>
      </c>
      <c r="B97">
        <f t="shared" si="12"/>
        <v>7853.981633974483</v>
      </c>
      <c r="C97" s="5">
        <f>data!O97</f>
        <v>-34.363</v>
      </c>
      <c r="D97" s="5">
        <f>data!B97</f>
        <v>-33.296999999999997</v>
      </c>
      <c r="E97" s="5">
        <f>data!G97</f>
        <v>5.2877000000000003E-9</v>
      </c>
      <c r="F97" s="5">
        <f>data!J97</f>
        <v>8.7753999999999995E-10</v>
      </c>
      <c r="G97" t="str">
        <f t="shared" si="13"/>
        <v>-34.363-33.297i</v>
      </c>
      <c r="H97" t="str">
        <f t="shared" si="14"/>
        <v>0.0000000052877+0.00000000087754i</v>
      </c>
      <c r="I97" t="str">
        <f t="shared" ca="1" si="23"/>
        <v>1.592229266987-4.51714130460682i</v>
      </c>
      <c r="J97" t="str">
        <f ca="1">IMSUB(analytical!$D$5*analytical!$I$10,I97)</f>
        <v>-0.459529266987+4.51714130460682i</v>
      </c>
      <c r="K97" t="str">
        <f ca="1">IMPRODUCT(analytical!$D$5/numerical!B97^2,IMDIV(numerical!G97,numerical!I97))</f>
        <v>6.35684431999623E-08-1.3833155718223E-07i</v>
      </c>
      <c r="L97" t="str">
        <f t="shared" ca="1" si="15"/>
        <v>-5.20341015556739E-09-2.21203698247844E-09i</v>
      </c>
      <c r="M97" t="str">
        <f t="shared" ca="1" si="16"/>
        <v>6.87718533555297E-08-1.36119520199752E-07i</v>
      </c>
      <c r="N97" t="str">
        <f t="shared" ca="1" si="17"/>
        <v>0.00106908021167427+0.000540132873188717i</v>
      </c>
      <c r="O97" t="str">
        <f t="shared" si="18"/>
        <v>-6.89218304307797E-06+0.0000415294986859669i</v>
      </c>
      <c r="P97" t="str">
        <f ca="1">IMSUM(IMPRODUCT(analytical!$D$5,numerical!N97),IMPRODUCT(1-analytical!$D$5,numerical!O97))</f>
        <v>0.00100452186799123+0.000510216670718552i</v>
      </c>
      <c r="Q97" t="str">
        <f t="shared" ca="1" si="19"/>
        <v>791.345165208455-401.939976069695i</v>
      </c>
      <c r="R97">
        <f t="shared" ca="1" si="20"/>
        <v>791.345165208455</v>
      </c>
      <c r="S97">
        <f t="shared" ca="1" si="21"/>
        <v>-401.93997606969498</v>
      </c>
    </row>
    <row r="98" spans="1:19" x14ac:dyDescent="0.15">
      <c r="A98">
        <f t="shared" si="22"/>
        <v>1260</v>
      </c>
      <c r="B98">
        <f t="shared" si="12"/>
        <v>7916.8134870462791</v>
      </c>
      <c r="C98" s="5">
        <f>data!O98</f>
        <v>-34.512999999999998</v>
      </c>
      <c r="D98" s="5">
        <f>data!B98</f>
        <v>-33.290999999999997</v>
      </c>
      <c r="E98" s="5">
        <f>data!G98</f>
        <v>5.7800999999999999E-9</v>
      </c>
      <c r="F98" s="5">
        <f>data!J98</f>
        <v>5.9493000000000003E-10</v>
      </c>
      <c r="G98" t="str">
        <f t="shared" si="13"/>
        <v>-34.513-33.291i</v>
      </c>
      <c r="H98" t="str">
        <f t="shared" si="14"/>
        <v>0.0000000057801+0.00000000059493i</v>
      </c>
      <c r="I98" t="str">
        <f t="shared" ca="1" si="23"/>
        <v>1.59220581532432-4.48155938538493i</v>
      </c>
      <c r="J98" t="str">
        <f ca="1">IMSUB(analytical!$D$5*analytical!$I$10,I98)</f>
        <v>-0.45950581532432+4.48155938538493i</v>
      </c>
      <c r="K98" t="str">
        <f ca="1">IMPRODUCT(analytical!$D$5/numerical!B98^2,IMDIV(numerical!G98,numerical!I98))</f>
        <v>6.24880404045555E-08-1.37700341894858E-07i</v>
      </c>
      <c r="L98" t="str">
        <f t="shared" ca="1" si="15"/>
        <v>-5.77952936365762E-09-2.05589055361216E-09i</v>
      </c>
      <c r="M98" t="str">
        <f t="shared" ca="1" si="16"/>
        <v>6.82675697682131E-08-1.35644451341246E-07i</v>
      </c>
      <c r="N98" t="str">
        <f t="shared" ca="1" si="17"/>
        <v>0.00107387182182137+0.000540461617068862i</v>
      </c>
      <c r="O98" t="str">
        <f t="shared" si="18"/>
        <v>-4.70994984784844E-06+0.0000457599736364762i</v>
      </c>
      <c r="P98" t="str">
        <f ca="1">IMSUM(IMPRODUCT(analytical!$D$5,numerical!N98),IMPRODUCT(1-analytical!$D$5,numerical!O98))</f>
        <v>0.00100915691552122+0.000510779518462919i</v>
      </c>
      <c r="Q98" t="str">
        <f t="shared" ca="1" si="19"/>
        <v>788.839306278878-399.26690766187i</v>
      </c>
      <c r="R98">
        <f t="shared" ca="1" si="20"/>
        <v>788.83930627887798</v>
      </c>
      <c r="S98">
        <f t="shared" ca="1" si="21"/>
        <v>-399.26690766186999</v>
      </c>
    </row>
    <row r="99" spans="1:19" x14ac:dyDescent="0.15">
      <c r="A99">
        <f t="shared" si="22"/>
        <v>1270</v>
      </c>
      <c r="B99">
        <f t="shared" si="12"/>
        <v>7979.6453401180743</v>
      </c>
      <c r="C99" s="5">
        <f>data!O99</f>
        <v>-34.670999999999999</v>
      </c>
      <c r="D99" s="5">
        <f>data!B99</f>
        <v>-33.270000000000003</v>
      </c>
      <c r="E99" s="5">
        <f>data!G99</f>
        <v>6.3011999999999997E-9</v>
      </c>
      <c r="F99" s="5">
        <f>data!J99</f>
        <v>2.4772999999999998E-10</v>
      </c>
      <c r="G99" t="str">
        <f t="shared" si="13"/>
        <v>-34.671-33.27i</v>
      </c>
      <c r="H99" t="str">
        <f t="shared" si="14"/>
        <v>0.0000000063012+0.00000000024773i</v>
      </c>
      <c r="I99" t="str">
        <f t="shared" ca="1" si="23"/>
        <v>1.59218218669893-4.44653985303421i</v>
      </c>
      <c r="J99" t="str">
        <f ca="1">IMSUB(analytical!$D$5*analytical!$I$10,I99)</f>
        <v>-0.45948218669893+4.44653985303421i</v>
      </c>
      <c r="K99" t="str">
        <f ca="1">IMPRODUCT(analytical!$D$5/numerical!B99^2,IMDIV(numerical!G99,numerical!I99))</f>
        <v>6.13708831339552E-08-1.37083032058029E-07i</v>
      </c>
      <c r="L99" t="str">
        <f t="shared" ca="1" si="15"/>
        <v>-6.4028761441139E-09-1.84237462195901E-09i</v>
      </c>
      <c r="M99" t="str">
        <f t="shared" ca="1" si="16"/>
        <v>6.77737592780691E-08-1.3524065743607E-07i</v>
      </c>
      <c r="N99" t="str">
        <f t="shared" ca="1" si="17"/>
        <v>0.00107917248190424+0.000540810562405528i</v>
      </c>
      <c r="O99" t="str">
        <f t="shared" si="18"/>
        <v>-1.97679754010745E-06+0.000050281341217152i</v>
      </c>
      <c r="P99" t="str">
        <f ca="1">IMSUM(IMPRODUCT(analytical!$D$5,numerical!N99),IMPRODUCT(1-analytical!$D$5,numerical!O99))</f>
        <v>0.00101430352513758+0.000511378809134225i</v>
      </c>
      <c r="Q99" t="str">
        <f t="shared" ca="1" si="19"/>
        <v>786.086848300389-396.319391974314i</v>
      </c>
      <c r="R99">
        <f t="shared" ca="1" si="20"/>
        <v>786.08684830038897</v>
      </c>
      <c r="S99">
        <f t="shared" ca="1" si="21"/>
        <v>-396.31939197431399</v>
      </c>
    </row>
    <row r="100" spans="1:19" x14ac:dyDescent="0.15">
      <c r="A100">
        <f t="shared" si="22"/>
        <v>1280</v>
      </c>
      <c r="B100">
        <f t="shared" si="12"/>
        <v>8042.4771931898704</v>
      </c>
      <c r="C100" s="5">
        <f>data!O100</f>
        <v>-34.841000000000001</v>
      </c>
      <c r="D100" s="5">
        <f>data!B100</f>
        <v>-33.231999999999999</v>
      </c>
      <c r="E100" s="5">
        <f>data!G100</f>
        <v>6.8489999999999998E-9</v>
      </c>
      <c r="F100" s="5">
        <f>data!J100</f>
        <v>-1.7951999999999999E-10</v>
      </c>
      <c r="G100" t="str">
        <f t="shared" si="13"/>
        <v>-34.841-33.232i</v>
      </c>
      <c r="H100" t="str">
        <f t="shared" si="14"/>
        <v>0.000000006849-0.00000000017952i</v>
      </c>
      <c r="I100" t="str">
        <f t="shared" ca="1" si="23"/>
        <v>1.59215838133808-4.4120695247791i</v>
      </c>
      <c r="J100" t="str">
        <f ca="1">IMSUB(analytical!$D$5*analytical!$I$10,I100)</f>
        <v>-0.45945838133808+4.4120695247791i</v>
      </c>
      <c r="K100" t="str">
        <f ca="1">IMPRODUCT(analytical!$D$5/numerical!B100^2,IMDIV(numerical!G100,numerical!I100))</f>
        <v>6.02079217335667E-08-1.3648844917483E-07i</v>
      </c>
      <c r="L100" t="str">
        <f t="shared" ca="1" si="15"/>
        <v>-7.07573532823485E-09-1.55519583122441E-09i</v>
      </c>
      <c r="M100" t="str">
        <f t="shared" ca="1" si="16"/>
        <v>6.72836570618015E-08-1.34933253343606E-07i</v>
      </c>
      <c r="N100" t="str">
        <f t="shared" ca="1" si="17"/>
        <v>0.00108519761261886+0.000541127277393947i</v>
      </c>
      <c r="O100" t="str">
        <f t="shared" si="18"/>
        <v>1.44378550572145E-06+0.0000550829262961574i</v>
      </c>
      <c r="P100" t="str">
        <f ca="1">IMSUM(IMPRODUCT(analytical!$D$5,numerical!N100),IMPRODUCT(1-analytical!$D$5,numerical!O100))</f>
        <v>0.00102017238299207+0.000511964616328079i</v>
      </c>
      <c r="Q100" t="str">
        <f t="shared" ca="1" si="19"/>
        <v>783.025656096785-392.954598930511i</v>
      </c>
      <c r="R100">
        <f t="shared" ca="1" si="20"/>
        <v>783.02565609678504</v>
      </c>
      <c r="S100">
        <f t="shared" ca="1" si="21"/>
        <v>-392.954598930511</v>
      </c>
    </row>
    <row r="101" spans="1:19" x14ac:dyDescent="0.15">
      <c r="A101">
        <f t="shared" si="22"/>
        <v>1290</v>
      </c>
      <c r="B101">
        <f t="shared" si="12"/>
        <v>8105.3090462616665</v>
      </c>
      <c r="C101" s="5">
        <f>data!O101</f>
        <v>-35.027000000000001</v>
      </c>
      <c r="D101" s="5">
        <f>data!B101</f>
        <v>-33.176000000000002</v>
      </c>
      <c r="E101" s="5">
        <f>data!G101</f>
        <v>7.4179000000000002E-9</v>
      </c>
      <c r="F101" s="5">
        <f>data!J101</f>
        <v>-7.0584000000000002E-10</v>
      </c>
      <c r="G101" t="str">
        <f t="shared" si="13"/>
        <v>-35.027-33.176i</v>
      </c>
      <c r="H101" t="str">
        <f t="shared" si="14"/>
        <v>0.0000000074179-0.00000000070584i</v>
      </c>
      <c r="I101" t="str">
        <f t="shared" ca="1" si="23"/>
        <v>1.59213439947051-4.37813562660023i</v>
      </c>
      <c r="J101" t="str">
        <f ca="1">IMSUB(analytical!$D$5*analytical!$I$10,I101)</f>
        <v>-0.45943439947051+4.37813562660023i</v>
      </c>
      <c r="K101" t="str">
        <f ca="1">IMPRODUCT(analytical!$D$5/numerical!B101^2,IMDIV(numerical!G101,numerical!I101))</f>
        <v>5.89932218661169E-08-1.35926059200672E-07i</v>
      </c>
      <c r="L101" t="str">
        <f t="shared" ca="1" si="15"/>
        <v>-7.79772190827621E-09-1.17344213773828E-09i</v>
      </c>
      <c r="M101" t="str">
        <f t="shared" ca="1" si="16"/>
        <v>6.67909437743931E-08-1.34752617062934E-07i</v>
      </c>
      <c r="N101" t="str">
        <f t="shared" ca="1" si="17"/>
        <v>0.00109221160608763+0.000541361240782943i</v>
      </c>
      <c r="O101" t="str">
        <f t="shared" si="18"/>
        <v>5.72105133721334E-06+0.0000601243719742644i</v>
      </c>
      <c r="P101" t="str">
        <f ca="1">IMSUM(IMPRODUCT(analytical!$D$5,numerical!N101),IMPRODUCT(1-analytical!$D$5,numerical!O101))</f>
        <v>0.0010270221728026+0.000512487028654422i</v>
      </c>
      <c r="Q101" t="str">
        <f t="shared" ca="1" si="19"/>
        <v>779.572287742728-389.00882176318i</v>
      </c>
      <c r="R101">
        <f t="shared" ca="1" si="20"/>
        <v>779.57228774272801</v>
      </c>
      <c r="S101">
        <f t="shared" ca="1" si="21"/>
        <v>-389.00882176317998</v>
      </c>
    </row>
    <row r="102" spans="1:19" x14ac:dyDescent="0.15">
      <c r="A102">
        <f t="shared" si="22"/>
        <v>1300</v>
      </c>
      <c r="B102">
        <f t="shared" si="12"/>
        <v>8168.1408993334617</v>
      </c>
      <c r="C102" s="5">
        <f>data!O102</f>
        <v>-35.234999999999999</v>
      </c>
      <c r="D102" s="5">
        <f>data!B102</f>
        <v>-33.101999999999997</v>
      </c>
      <c r="E102" s="5">
        <f>data!G102</f>
        <v>7.9970999999999992E-9</v>
      </c>
      <c r="F102" s="5">
        <f>data!J102</f>
        <v>-1.3540000000000001E-9</v>
      </c>
      <c r="G102" t="str">
        <f t="shared" si="13"/>
        <v>-35.235-33.102i</v>
      </c>
      <c r="H102" t="str">
        <f t="shared" si="14"/>
        <v>0.0000000079971-0.000000001354i</v>
      </c>
      <c r="I102" t="str">
        <f t="shared" ca="1" si="23"/>
        <v>1.59211024132639-4.34472577751291i</v>
      </c>
      <c r="J102" t="str">
        <f ca="1">IMSUB(analytical!$D$5*analytical!$I$10,I102)</f>
        <v>-0.45941024132639+4.34472577751291i</v>
      </c>
      <c r="K102" t="str">
        <f ca="1">IMPRODUCT(analytical!$D$5/numerical!B102^2,IMDIV(numerical!G102,numerical!I102))</f>
        <v>5.77217247343022E-08-1.35411695746731E-07i</v>
      </c>
      <c r="L102" t="str">
        <f t="shared" ca="1" si="15"/>
        <v>-8.56421304269327E-09-6.7093277613325E-10i</v>
      </c>
      <c r="M102" t="str">
        <f t="shared" ca="1" si="16"/>
        <v>6.62859377769955E-08-1.34740762970598E-07i</v>
      </c>
      <c r="N102" t="str">
        <f t="shared" ca="1" si="17"/>
        <v>0.00110058153682754+0.00054143287940695i</v>
      </c>
      <c r="O102" t="str">
        <f t="shared" si="18"/>
        <v>0.0000110596627776975+0.0000653214395860596i</v>
      </c>
      <c r="P102" t="str">
        <f ca="1">IMSUM(IMPRODUCT(analytical!$D$5,numerical!N102),IMPRODUCT(1-analytical!$D$5,numerical!O102))</f>
        <v>0.00103521022438455+0.000512866193017697i</v>
      </c>
      <c r="Q102" t="str">
        <f t="shared" ca="1" si="19"/>
        <v>775.617348757513-384.258102872039i</v>
      </c>
      <c r="R102">
        <f t="shared" ca="1" si="20"/>
        <v>775.61734875751301</v>
      </c>
      <c r="S102">
        <f t="shared" ca="1" si="21"/>
        <v>-384.25810287203899</v>
      </c>
    </row>
    <row r="103" spans="1:19" x14ac:dyDescent="0.15">
      <c r="C103" s="5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102"/>
  <sheetViews>
    <sheetView workbookViewId="0">
      <selection activeCell="J1" sqref="J1:J1048576"/>
    </sheetView>
  </sheetViews>
  <sheetFormatPr defaultRowHeight="13.5" x14ac:dyDescent="0.15"/>
  <sheetData>
    <row r="1" spans="1:23" x14ac:dyDescent="0.15">
      <c r="A1" s="8" t="s">
        <v>109</v>
      </c>
      <c r="B1" s="8" t="s">
        <v>110</v>
      </c>
      <c r="C1" s="8" t="s">
        <v>125</v>
      </c>
      <c r="D1" s="8" t="s">
        <v>126</v>
      </c>
      <c r="E1" s="8" t="s">
        <v>113</v>
      </c>
      <c r="F1" s="8" t="s">
        <v>114</v>
      </c>
      <c r="G1" s="8" t="s">
        <v>115</v>
      </c>
      <c r="H1" s="8" t="s">
        <v>116</v>
      </c>
      <c r="I1" s="8" t="s">
        <v>117</v>
      </c>
      <c r="J1" s="8" t="s">
        <v>118</v>
      </c>
      <c r="K1" s="8" t="s">
        <v>119</v>
      </c>
      <c r="L1" s="8" t="s">
        <v>120</v>
      </c>
      <c r="M1" s="8" t="s">
        <v>121</v>
      </c>
      <c r="N1" s="8" t="s">
        <v>122</v>
      </c>
      <c r="O1" s="8" t="s">
        <v>124</v>
      </c>
      <c r="P1" s="8" t="s">
        <v>123</v>
      </c>
      <c r="Q1" s="8" t="s">
        <v>111</v>
      </c>
      <c r="R1" s="8" t="s">
        <v>112</v>
      </c>
      <c r="S1" s="8" t="s">
        <v>127</v>
      </c>
      <c r="T1" s="8" t="s">
        <v>128</v>
      </c>
      <c r="U1" s="8" t="s">
        <v>129</v>
      </c>
      <c r="V1" s="8" t="s">
        <v>130</v>
      </c>
      <c r="W1" s="8" t="s">
        <v>131</v>
      </c>
    </row>
    <row r="2" spans="1:23" x14ac:dyDescent="0.15">
      <c r="A2" s="8">
        <v>1</v>
      </c>
      <c r="B2" s="8">
        <v>-19.024999999999999</v>
      </c>
      <c r="C2" s="9">
        <v>-5.9851000000000002E-15</v>
      </c>
      <c r="D2" s="9">
        <v>-1.197E-14</v>
      </c>
      <c r="E2" s="8">
        <v>0</v>
      </c>
      <c r="F2" s="8">
        <v>1</v>
      </c>
      <c r="G2" s="9">
        <v>2.9250999999999998E-8</v>
      </c>
      <c r="H2" s="8">
        <v>0</v>
      </c>
      <c r="I2" s="8">
        <v>0</v>
      </c>
      <c r="J2" s="9">
        <v>3.9214000000000001E-9</v>
      </c>
      <c r="K2" s="8">
        <v>0</v>
      </c>
      <c r="L2" s="8">
        <v>0</v>
      </c>
      <c r="M2" s="8">
        <v>-19.024999999999999</v>
      </c>
      <c r="N2" s="9">
        <v>-6.6008000000000003E-15</v>
      </c>
      <c r="O2" s="8">
        <v>-17.251000000000001</v>
      </c>
      <c r="P2" s="9">
        <v>-1.3202E-14</v>
      </c>
      <c r="Q2" s="9">
        <v>-6.6008000000000003E-15</v>
      </c>
      <c r="R2" s="9">
        <v>-1.3202E-14</v>
      </c>
      <c r="S2" s="8">
        <v>1</v>
      </c>
      <c r="T2" s="8">
        <v>0</v>
      </c>
      <c r="U2" s="8">
        <v>0</v>
      </c>
      <c r="V2" s="8">
        <v>0.25</v>
      </c>
      <c r="W2" s="8">
        <v>0.3</v>
      </c>
    </row>
    <row r="3" spans="1:23" x14ac:dyDescent="0.15">
      <c r="A3" s="8">
        <v>1</v>
      </c>
      <c r="B3" s="8">
        <v>-19.213999999999999</v>
      </c>
      <c r="C3" s="9">
        <v>-6.0484000000000002E-15</v>
      </c>
      <c r="D3" s="9">
        <v>-1.2097000000000001E-14</v>
      </c>
      <c r="E3" s="8">
        <v>0</v>
      </c>
      <c r="F3" s="8">
        <v>1</v>
      </c>
      <c r="G3" s="9">
        <v>3.0870999999999999E-8</v>
      </c>
      <c r="H3" s="8">
        <v>0</v>
      </c>
      <c r="I3" s="8">
        <v>0</v>
      </c>
      <c r="J3" s="9">
        <v>3.4841E-9</v>
      </c>
      <c r="K3" s="8">
        <v>0</v>
      </c>
      <c r="L3" s="8">
        <v>0</v>
      </c>
      <c r="M3" s="8">
        <v>-19.213999999999999</v>
      </c>
      <c r="N3" s="9">
        <v>-6.6663000000000003E-15</v>
      </c>
      <c r="O3" s="8">
        <v>-17.433</v>
      </c>
      <c r="P3" s="9">
        <v>-1.3333E-14</v>
      </c>
      <c r="Q3" s="9">
        <v>-6.6663000000000003E-15</v>
      </c>
      <c r="R3" s="9">
        <v>-1.3333E-14</v>
      </c>
      <c r="S3" s="8">
        <v>1</v>
      </c>
      <c r="T3" s="8">
        <v>1</v>
      </c>
      <c r="U3" s="8">
        <v>0</v>
      </c>
      <c r="V3" s="8">
        <v>0.25</v>
      </c>
      <c r="W3" s="8">
        <v>0.3</v>
      </c>
    </row>
    <row r="4" spans="1:23" x14ac:dyDescent="0.15">
      <c r="A4" s="8">
        <v>1</v>
      </c>
      <c r="B4" s="8">
        <v>-19.39</v>
      </c>
      <c r="C4" s="9">
        <v>-6.1134000000000003E-15</v>
      </c>
      <c r="D4" s="9">
        <v>-1.2226999999999999E-14</v>
      </c>
      <c r="E4" s="8">
        <v>0</v>
      </c>
      <c r="F4" s="8">
        <v>1</v>
      </c>
      <c r="G4" s="9">
        <v>3.2689999999999997E-8</v>
      </c>
      <c r="H4" s="8">
        <v>0</v>
      </c>
      <c r="I4" s="8">
        <v>0</v>
      </c>
      <c r="J4" s="9">
        <v>2.9746E-9</v>
      </c>
      <c r="K4" s="8">
        <v>0</v>
      </c>
      <c r="L4" s="8">
        <v>0</v>
      </c>
      <c r="M4" s="8">
        <v>-19.39</v>
      </c>
      <c r="N4" s="9">
        <v>-6.7272000000000001E-15</v>
      </c>
      <c r="O4" s="8">
        <v>-17.620999999999999</v>
      </c>
      <c r="P4" s="9">
        <v>-1.3454E-14</v>
      </c>
      <c r="Q4" s="9">
        <v>-6.7272000000000001E-15</v>
      </c>
      <c r="R4" s="9">
        <v>-1.3454E-14</v>
      </c>
      <c r="S4" s="8">
        <v>1</v>
      </c>
      <c r="T4" s="8">
        <v>2</v>
      </c>
      <c r="U4" s="8">
        <v>0</v>
      </c>
      <c r="V4" s="8">
        <v>0.25</v>
      </c>
      <c r="W4" s="8">
        <v>0.3</v>
      </c>
    </row>
    <row r="5" spans="1:23" x14ac:dyDescent="0.15">
      <c r="A5" s="8">
        <v>1</v>
      </c>
      <c r="B5" s="8">
        <v>-19.552</v>
      </c>
      <c r="C5" s="9">
        <v>-6.2906000000000001E-16</v>
      </c>
      <c r="D5" s="9">
        <v>-1.2581000000000001E-15</v>
      </c>
      <c r="E5" s="8">
        <v>0</v>
      </c>
      <c r="F5" s="8">
        <v>1</v>
      </c>
      <c r="G5" s="9">
        <v>3.4750999999999998E-8</v>
      </c>
      <c r="H5" s="8">
        <v>0</v>
      </c>
      <c r="I5" s="8">
        <v>0</v>
      </c>
      <c r="J5" s="9">
        <v>2.3677E-9</v>
      </c>
      <c r="K5" s="8">
        <v>0</v>
      </c>
      <c r="L5" s="8">
        <v>0</v>
      </c>
      <c r="M5" s="8">
        <v>-19.552</v>
      </c>
      <c r="N5" s="9">
        <v>-6.7833999999999997E-15</v>
      </c>
      <c r="O5" s="8">
        <v>-17.812999999999999</v>
      </c>
      <c r="P5" s="9">
        <v>-1.3567E-14</v>
      </c>
      <c r="Q5" s="9">
        <v>-6.7833999999999997E-15</v>
      </c>
      <c r="R5" s="9">
        <v>-1.3567E-14</v>
      </c>
      <c r="S5" s="8">
        <v>1</v>
      </c>
      <c r="T5" s="8">
        <v>3</v>
      </c>
      <c r="U5" s="8">
        <v>0</v>
      </c>
      <c r="V5" s="8">
        <v>0.25</v>
      </c>
      <c r="W5" s="8">
        <v>0.3</v>
      </c>
    </row>
    <row r="6" spans="1:23" x14ac:dyDescent="0.15">
      <c r="A6" s="8">
        <v>1</v>
      </c>
      <c r="B6" s="8">
        <v>-19.699000000000002</v>
      </c>
      <c r="C6" s="9">
        <v>-6.2488000000000001E-15</v>
      </c>
      <c r="D6" s="9">
        <v>-1.2498000000000001E-14</v>
      </c>
      <c r="E6" s="8">
        <v>0</v>
      </c>
      <c r="F6" s="8">
        <v>1</v>
      </c>
      <c r="G6" s="9">
        <v>3.7107000000000003E-8</v>
      </c>
      <c r="H6" s="8">
        <v>0</v>
      </c>
      <c r="I6" s="8">
        <v>0</v>
      </c>
      <c r="J6" s="9">
        <v>1.6283000000000001E-9</v>
      </c>
      <c r="K6" s="8">
        <v>0</v>
      </c>
      <c r="L6" s="8">
        <v>0</v>
      </c>
      <c r="M6" s="8">
        <v>-19.699000000000002</v>
      </c>
      <c r="N6" s="9">
        <v>-6.8345000000000001E-15</v>
      </c>
      <c r="O6" s="8">
        <v>-18.010999999999999</v>
      </c>
      <c r="P6" s="9">
        <v>-1.3669E-14</v>
      </c>
      <c r="Q6" s="9">
        <v>-6.8345000000000001E-15</v>
      </c>
      <c r="R6" s="9">
        <v>-1.3669E-14</v>
      </c>
      <c r="S6" s="8">
        <v>1</v>
      </c>
      <c r="T6" s="8">
        <v>4</v>
      </c>
      <c r="U6" s="8">
        <v>0</v>
      </c>
      <c r="V6" s="8">
        <v>0.25</v>
      </c>
      <c r="W6" s="8">
        <v>0.3</v>
      </c>
    </row>
    <row r="7" spans="1:23" x14ac:dyDescent="0.15">
      <c r="A7" s="8">
        <v>1</v>
      </c>
      <c r="B7" s="8">
        <v>-19.831</v>
      </c>
      <c r="C7" s="9">
        <v>-9.0951000000000006E-15</v>
      </c>
      <c r="D7" s="9">
        <v>1.8626000000000001E-8</v>
      </c>
      <c r="E7" s="8">
        <v>0</v>
      </c>
      <c r="F7" s="8">
        <v>1</v>
      </c>
      <c r="G7" s="9">
        <v>3.9827000000000003E-8</v>
      </c>
      <c r="H7" s="8">
        <v>0</v>
      </c>
      <c r="I7" s="8">
        <v>0</v>
      </c>
      <c r="J7" s="9">
        <v>7.0586999999999996E-10</v>
      </c>
      <c r="K7" s="8">
        <v>0</v>
      </c>
      <c r="L7" s="8">
        <v>0</v>
      </c>
      <c r="M7" s="8">
        <v>-19.831</v>
      </c>
      <c r="N7" s="9">
        <v>-6.8802000000000001E-15</v>
      </c>
      <c r="O7" s="8">
        <v>-18.215</v>
      </c>
      <c r="P7" s="9">
        <v>-1.376E-14</v>
      </c>
      <c r="Q7" s="9">
        <v>-6.8802000000000001E-15</v>
      </c>
      <c r="R7" s="9">
        <v>-1.376E-14</v>
      </c>
      <c r="S7" s="8">
        <v>1</v>
      </c>
      <c r="T7" s="8">
        <v>5</v>
      </c>
      <c r="U7" s="8">
        <v>0</v>
      </c>
      <c r="V7" s="8">
        <v>0.25</v>
      </c>
      <c r="W7" s="8">
        <v>0.3</v>
      </c>
    </row>
    <row r="8" spans="1:23" x14ac:dyDescent="0.15">
      <c r="A8" s="8">
        <v>1</v>
      </c>
      <c r="B8" s="8">
        <v>-19.943999999999999</v>
      </c>
      <c r="C8" s="9">
        <v>-6.3928000000000001E-15</v>
      </c>
      <c r="D8" s="9">
        <v>-1.2786000000000001E-14</v>
      </c>
      <c r="E8" s="8">
        <v>0</v>
      </c>
      <c r="F8" s="8">
        <v>1</v>
      </c>
      <c r="G8" s="9">
        <v>4.3001999999999997E-8</v>
      </c>
      <c r="H8" s="8">
        <v>0</v>
      </c>
      <c r="I8" s="8">
        <v>0</v>
      </c>
      <c r="J8" s="9">
        <v>-4.7413E-10</v>
      </c>
      <c r="K8" s="8">
        <v>0</v>
      </c>
      <c r="L8" s="8">
        <v>0</v>
      </c>
      <c r="M8" s="8">
        <v>-19.943999999999999</v>
      </c>
      <c r="N8" s="9">
        <v>-6.9195999999999999E-15</v>
      </c>
      <c r="O8" s="8">
        <v>-18.425999999999998</v>
      </c>
      <c r="P8" s="9">
        <v>-1.3838999999999999E-14</v>
      </c>
      <c r="Q8" s="9">
        <v>-6.9195999999999999E-15</v>
      </c>
      <c r="R8" s="9">
        <v>-1.3838999999999999E-14</v>
      </c>
      <c r="S8" s="8">
        <v>1</v>
      </c>
      <c r="T8" s="8">
        <v>6</v>
      </c>
      <c r="U8" s="8">
        <v>0</v>
      </c>
      <c r="V8" s="8">
        <v>0.25</v>
      </c>
      <c r="W8" s="8">
        <v>0.3</v>
      </c>
    </row>
    <row r="9" spans="1:23" x14ac:dyDescent="0.15">
      <c r="A9" s="8">
        <v>1</v>
      </c>
      <c r="B9" s="8">
        <v>-20.036999999999999</v>
      </c>
      <c r="C9" s="9">
        <v>-6.4692000000000003E-15</v>
      </c>
      <c r="D9" s="9">
        <v>-1.2938E-14</v>
      </c>
      <c r="E9" s="8">
        <v>0</v>
      </c>
      <c r="F9" s="8">
        <v>1</v>
      </c>
      <c r="G9" s="9">
        <v>4.6749999999999998E-8</v>
      </c>
      <c r="H9" s="8">
        <v>0</v>
      </c>
      <c r="I9" s="8">
        <v>0</v>
      </c>
      <c r="J9" s="9">
        <v>-2.0246999999999998E-9</v>
      </c>
      <c r="K9" s="8">
        <v>0</v>
      </c>
      <c r="L9" s="8">
        <v>0</v>
      </c>
      <c r="M9" s="8">
        <v>-20.036999999999999</v>
      </c>
      <c r="N9" s="9">
        <v>-6.9516999999999997E-15</v>
      </c>
      <c r="O9" s="8">
        <v>-18.646000000000001</v>
      </c>
      <c r="P9" s="9">
        <v>-1.3903E-14</v>
      </c>
      <c r="Q9" s="9">
        <v>-6.9516999999999997E-15</v>
      </c>
      <c r="R9" s="9">
        <v>-1.3903E-14</v>
      </c>
      <c r="S9" s="8">
        <v>1</v>
      </c>
      <c r="T9" s="8">
        <v>7</v>
      </c>
      <c r="U9" s="8">
        <v>0</v>
      </c>
      <c r="V9" s="8">
        <v>0.25</v>
      </c>
      <c r="W9" s="8">
        <v>0.3</v>
      </c>
    </row>
    <row r="10" spans="1:23" x14ac:dyDescent="0.15">
      <c r="A10" s="8">
        <v>1</v>
      </c>
      <c r="B10" s="8">
        <v>-20.103999999999999</v>
      </c>
      <c r="C10" s="9">
        <v>-6.5500999999999997E-15</v>
      </c>
      <c r="D10" s="9">
        <v>-1.3100000000000001E-14</v>
      </c>
      <c r="E10" s="8">
        <v>0</v>
      </c>
      <c r="F10" s="8">
        <v>1</v>
      </c>
      <c r="G10" s="9">
        <v>5.1226999999999999E-8</v>
      </c>
      <c r="H10" s="8">
        <v>0</v>
      </c>
      <c r="I10" s="8">
        <v>0</v>
      </c>
      <c r="J10" s="9">
        <v>-4.1231000000000004E-9</v>
      </c>
      <c r="K10" s="8">
        <v>0</v>
      </c>
      <c r="L10" s="8">
        <v>0</v>
      </c>
      <c r="M10" s="8">
        <v>-20.103999999999999</v>
      </c>
      <c r="N10" s="9">
        <v>-6.9748999999999998E-15</v>
      </c>
      <c r="O10" s="8">
        <v>-18.879000000000001</v>
      </c>
      <c r="P10" s="9">
        <v>-1.395E-14</v>
      </c>
      <c r="Q10" s="9">
        <v>-6.9748999999999998E-15</v>
      </c>
      <c r="R10" s="9">
        <v>-1.395E-14</v>
      </c>
      <c r="S10" s="8">
        <v>1</v>
      </c>
      <c r="T10" s="8">
        <v>8</v>
      </c>
      <c r="U10" s="8">
        <v>0</v>
      </c>
      <c r="V10" s="8">
        <v>0.25</v>
      </c>
      <c r="W10" s="8">
        <v>0.3</v>
      </c>
    </row>
    <row r="11" spans="1:23" x14ac:dyDescent="0.15">
      <c r="A11" s="8">
        <v>1</v>
      </c>
      <c r="B11" s="8">
        <v>-20.138000000000002</v>
      </c>
      <c r="C11" s="9">
        <v>-9.4130999999999999E-15</v>
      </c>
      <c r="D11" s="9">
        <v>1.8626000000000001E-8</v>
      </c>
      <c r="E11" s="8">
        <v>0</v>
      </c>
      <c r="F11" s="8">
        <v>1</v>
      </c>
      <c r="G11" s="9">
        <v>5.6638000000000001E-8</v>
      </c>
      <c r="H11" s="8">
        <v>0</v>
      </c>
      <c r="I11" s="8">
        <v>0</v>
      </c>
      <c r="J11" s="9">
        <v>-7.0572999999999996E-9</v>
      </c>
      <c r="K11" s="8">
        <v>0</v>
      </c>
      <c r="L11" s="8">
        <v>0</v>
      </c>
      <c r="M11" s="8">
        <v>-20.138000000000002</v>
      </c>
      <c r="N11" s="9">
        <v>-6.9869E-15</v>
      </c>
      <c r="O11" s="8">
        <v>-19.131</v>
      </c>
      <c r="P11" s="9">
        <v>-1.3974E-14</v>
      </c>
      <c r="Q11" s="9">
        <v>-6.9869E-15</v>
      </c>
      <c r="R11" s="9">
        <v>-1.3974E-14</v>
      </c>
      <c r="S11" s="8">
        <v>1</v>
      </c>
      <c r="T11" s="8">
        <v>9</v>
      </c>
      <c r="U11" s="8">
        <v>0</v>
      </c>
      <c r="V11" s="8">
        <v>0.25</v>
      </c>
      <c r="W11" s="8">
        <v>0.3</v>
      </c>
    </row>
    <row r="12" spans="1:23" x14ac:dyDescent="0.15">
      <c r="A12" s="8">
        <v>1</v>
      </c>
      <c r="B12" s="8">
        <v>-20.132000000000001</v>
      </c>
      <c r="C12" s="9">
        <v>-6.7353999999999998E-15</v>
      </c>
      <c r="D12" s="9">
        <v>-1.3471E-14</v>
      </c>
      <c r="E12" s="8">
        <v>0</v>
      </c>
      <c r="F12" s="8">
        <v>1</v>
      </c>
      <c r="G12" s="9">
        <v>6.3243000000000006E-8</v>
      </c>
      <c r="H12" s="8">
        <v>0</v>
      </c>
      <c r="I12" s="8">
        <v>0</v>
      </c>
      <c r="J12" s="9">
        <v>-1.1314E-8</v>
      </c>
      <c r="K12" s="8">
        <v>0</v>
      </c>
      <c r="L12" s="8">
        <v>0</v>
      </c>
      <c r="M12" s="8">
        <v>-20.132000000000001</v>
      </c>
      <c r="N12" s="9">
        <v>-6.9845999999999999E-15</v>
      </c>
      <c r="O12" s="8">
        <v>-19.413</v>
      </c>
      <c r="P12" s="9">
        <v>-1.3969E-14</v>
      </c>
      <c r="Q12" s="9">
        <v>-6.9845999999999999E-15</v>
      </c>
      <c r="R12" s="9">
        <v>-1.3969E-14</v>
      </c>
      <c r="S12" s="8">
        <v>1</v>
      </c>
      <c r="T12" s="8">
        <v>10</v>
      </c>
      <c r="U12" s="8">
        <v>0</v>
      </c>
      <c r="V12" s="8">
        <v>0.25</v>
      </c>
      <c r="W12" s="8">
        <v>0.3</v>
      </c>
    </row>
    <row r="13" spans="1:23" x14ac:dyDescent="0.15">
      <c r="A13" s="8">
        <v>1</v>
      </c>
      <c r="B13" s="8">
        <v>-20.071999999999999</v>
      </c>
      <c r="C13" s="9">
        <v>-6.8510000000000003E-15</v>
      </c>
      <c r="D13" s="9">
        <v>-1.3702000000000001E-14</v>
      </c>
      <c r="E13" s="8">
        <v>0</v>
      </c>
      <c r="F13" s="8">
        <v>1</v>
      </c>
      <c r="G13" s="9">
        <v>7.1333999999999995E-8</v>
      </c>
      <c r="H13" s="8">
        <v>0</v>
      </c>
      <c r="I13" s="8">
        <v>0</v>
      </c>
      <c r="J13" s="9">
        <v>-1.7754000000000001E-8</v>
      </c>
      <c r="K13" s="8">
        <v>0</v>
      </c>
      <c r="L13" s="8">
        <v>0</v>
      </c>
      <c r="M13" s="8">
        <v>-20.071999999999999</v>
      </c>
      <c r="N13" s="9">
        <v>-6.9638000000000001E-15</v>
      </c>
      <c r="O13" s="8">
        <v>-19.747</v>
      </c>
      <c r="P13" s="9">
        <v>-1.3928000000000001E-14</v>
      </c>
      <c r="Q13" s="9">
        <v>-6.9638000000000001E-15</v>
      </c>
      <c r="R13" s="9">
        <v>-1.3928000000000001E-14</v>
      </c>
      <c r="S13" s="8">
        <v>1</v>
      </c>
      <c r="T13" s="8">
        <v>11</v>
      </c>
      <c r="U13" s="8">
        <v>0</v>
      </c>
      <c r="V13" s="8">
        <v>0.25</v>
      </c>
      <c r="W13" s="8">
        <v>0.3</v>
      </c>
    </row>
    <row r="14" spans="1:23" x14ac:dyDescent="0.15">
      <c r="A14" s="8">
        <v>1</v>
      </c>
      <c r="B14" s="8">
        <v>-19.946000000000002</v>
      </c>
      <c r="C14" s="9">
        <v>-1.2548999999999999E-14</v>
      </c>
      <c r="D14" s="9">
        <v>3.7253000000000003E-8</v>
      </c>
      <c r="E14" s="8">
        <v>0</v>
      </c>
      <c r="F14" s="8">
        <v>1</v>
      </c>
      <c r="G14" s="9">
        <v>8.1086000000000002E-8</v>
      </c>
      <c r="H14" s="8">
        <v>0</v>
      </c>
      <c r="I14" s="8">
        <v>0</v>
      </c>
      <c r="J14" s="9">
        <v>-2.7952000000000001E-8</v>
      </c>
      <c r="K14" s="8">
        <v>0</v>
      </c>
      <c r="L14" s="8">
        <v>0</v>
      </c>
      <c r="M14" s="8">
        <v>-19.946000000000002</v>
      </c>
      <c r="N14" s="9">
        <v>-6.9200999999999998E-15</v>
      </c>
      <c r="O14" s="8">
        <v>-20.170999999999999</v>
      </c>
      <c r="P14" s="9">
        <v>-1.3839999999999999E-14</v>
      </c>
      <c r="Q14" s="9">
        <v>-6.9200999999999998E-15</v>
      </c>
      <c r="R14" s="9">
        <v>-1.3839999999999999E-14</v>
      </c>
      <c r="S14" s="8">
        <v>1</v>
      </c>
      <c r="T14" s="8">
        <v>12</v>
      </c>
      <c r="U14" s="8">
        <v>0</v>
      </c>
      <c r="V14" s="8">
        <v>0.25</v>
      </c>
      <c r="W14" s="8">
        <v>0.3</v>
      </c>
    </row>
    <row r="15" spans="1:23" x14ac:dyDescent="0.15">
      <c r="A15" s="8">
        <v>1</v>
      </c>
      <c r="B15" s="8">
        <v>-19.753</v>
      </c>
      <c r="C15" s="9">
        <v>-7.2046000000000004E-15</v>
      </c>
      <c r="D15" s="9">
        <v>-1.4408999999999999E-14</v>
      </c>
      <c r="E15" s="8">
        <v>0</v>
      </c>
      <c r="F15" s="8">
        <v>1</v>
      </c>
      <c r="G15" s="9">
        <v>9.1956000000000006E-8</v>
      </c>
      <c r="H15" s="8">
        <v>0</v>
      </c>
      <c r="I15" s="8">
        <v>0</v>
      </c>
      <c r="J15" s="9">
        <v>-4.4832000000000001E-8</v>
      </c>
      <c r="K15" s="8">
        <v>0</v>
      </c>
      <c r="L15" s="8">
        <v>0</v>
      </c>
      <c r="M15" s="8">
        <v>-19.753</v>
      </c>
      <c r="N15" s="9">
        <v>-6.8532000000000002E-15</v>
      </c>
      <c r="O15" s="8">
        <v>-20.765999999999998</v>
      </c>
      <c r="P15" s="9">
        <v>-1.3706E-14</v>
      </c>
      <c r="Q15" s="9">
        <v>-6.8532000000000002E-15</v>
      </c>
      <c r="R15" s="9">
        <v>-1.3706E-14</v>
      </c>
      <c r="S15" s="8">
        <v>1</v>
      </c>
      <c r="T15" s="8">
        <v>13</v>
      </c>
      <c r="U15" s="8">
        <v>0</v>
      </c>
      <c r="V15" s="8">
        <v>0.25</v>
      </c>
      <c r="W15" s="8">
        <v>0.3</v>
      </c>
    </row>
    <row r="16" spans="1:23" x14ac:dyDescent="0.15">
      <c r="A16" s="8">
        <v>1</v>
      </c>
      <c r="B16" s="8">
        <v>-19.556999999999999</v>
      </c>
      <c r="C16" s="9">
        <v>-7.5218000000000001E-15</v>
      </c>
      <c r="D16" s="9">
        <v>3.7253000000000003E-8</v>
      </c>
      <c r="E16" s="8">
        <v>0</v>
      </c>
      <c r="F16" s="8">
        <v>1</v>
      </c>
      <c r="G16" s="9">
        <v>1.0052E-7</v>
      </c>
      <c r="H16" s="8">
        <v>0</v>
      </c>
      <c r="I16" s="8">
        <v>0</v>
      </c>
      <c r="J16" s="9">
        <v>-7.3369E-8</v>
      </c>
      <c r="K16" s="8">
        <v>0</v>
      </c>
      <c r="L16" s="8">
        <v>0</v>
      </c>
      <c r="M16" s="8">
        <v>-19.556999999999999</v>
      </c>
      <c r="N16" s="9">
        <v>-6.7850999999999998E-15</v>
      </c>
      <c r="O16" s="8">
        <v>-21.68</v>
      </c>
      <c r="P16" s="9">
        <v>-1.3569999999999999E-14</v>
      </c>
      <c r="Q16" s="9">
        <v>-6.7850999999999998E-15</v>
      </c>
      <c r="R16" s="9">
        <v>-1.3569999999999999E-14</v>
      </c>
      <c r="S16" s="8">
        <v>1</v>
      </c>
      <c r="T16" s="8">
        <v>14</v>
      </c>
      <c r="U16" s="8">
        <v>0</v>
      </c>
      <c r="V16" s="8">
        <v>0.25</v>
      </c>
      <c r="W16" s="8">
        <v>0.3</v>
      </c>
    </row>
    <row r="17" spans="1:23" x14ac:dyDescent="0.15">
      <c r="A17" s="8">
        <v>1</v>
      </c>
      <c r="B17" s="8">
        <v>-19.654</v>
      </c>
      <c r="C17" s="9">
        <v>-8.0132000000000001E-15</v>
      </c>
      <c r="D17" s="9">
        <v>3.7253000000000003E-8</v>
      </c>
      <c r="E17" s="8">
        <v>0</v>
      </c>
      <c r="F17" s="8">
        <v>1</v>
      </c>
      <c r="G17" s="9">
        <v>9.4575999999999999E-8</v>
      </c>
      <c r="H17" s="8">
        <v>0</v>
      </c>
      <c r="I17" s="8">
        <v>0</v>
      </c>
      <c r="J17" s="9">
        <v>-1.1804E-7</v>
      </c>
      <c r="K17" s="8">
        <v>0</v>
      </c>
      <c r="L17" s="8">
        <v>0</v>
      </c>
      <c r="M17" s="8">
        <v>-19.654</v>
      </c>
      <c r="N17" s="9">
        <v>-6.8188999999999996E-15</v>
      </c>
      <c r="O17" s="8">
        <v>-23.096</v>
      </c>
      <c r="P17" s="9">
        <v>-1.3638E-14</v>
      </c>
      <c r="Q17" s="9">
        <v>-6.8188999999999996E-15</v>
      </c>
      <c r="R17" s="9">
        <v>-1.3638E-14</v>
      </c>
      <c r="S17" s="8">
        <v>1</v>
      </c>
      <c r="T17" s="8">
        <v>15</v>
      </c>
      <c r="U17" s="8">
        <v>0</v>
      </c>
      <c r="V17" s="8">
        <v>0.25</v>
      </c>
      <c r="W17" s="8">
        <v>0.3</v>
      </c>
    </row>
    <row r="18" spans="1:23" x14ac:dyDescent="0.15">
      <c r="A18" s="8">
        <v>1</v>
      </c>
      <c r="B18" s="8">
        <v>-20.734000000000002</v>
      </c>
      <c r="C18" s="9">
        <v>-8.5904999999999995E-15</v>
      </c>
      <c r="D18" s="9">
        <v>-1.7180999999999999E-14</v>
      </c>
      <c r="E18" s="8">
        <v>0</v>
      </c>
      <c r="F18" s="8">
        <v>1</v>
      </c>
      <c r="G18" s="9">
        <v>5.0822999999999998E-8</v>
      </c>
      <c r="H18" s="8">
        <v>0</v>
      </c>
      <c r="I18" s="8">
        <v>0</v>
      </c>
      <c r="J18" s="9">
        <v>-1.6446999999999999E-7</v>
      </c>
      <c r="K18" s="8">
        <v>0</v>
      </c>
      <c r="L18" s="8">
        <v>0</v>
      </c>
      <c r="M18" s="8">
        <v>-20.734000000000002</v>
      </c>
      <c r="N18" s="9">
        <v>-7.1936000000000008E-15</v>
      </c>
      <c r="O18" s="8">
        <v>-24.760999999999999</v>
      </c>
      <c r="P18" s="9">
        <v>-1.4387E-14</v>
      </c>
      <c r="Q18" s="9">
        <v>-7.1936000000000008E-15</v>
      </c>
      <c r="R18" s="9">
        <v>-1.4387E-14</v>
      </c>
      <c r="S18" s="8">
        <v>1</v>
      </c>
      <c r="T18" s="8">
        <v>16</v>
      </c>
      <c r="U18" s="8">
        <v>0</v>
      </c>
      <c r="V18" s="8">
        <v>0.25</v>
      </c>
      <c r="W18" s="8">
        <v>0.3</v>
      </c>
    </row>
    <row r="19" spans="1:23" x14ac:dyDescent="0.15">
      <c r="A19" s="8">
        <v>1</v>
      </c>
      <c r="B19" s="8">
        <v>-22.803000000000001</v>
      </c>
      <c r="C19" s="9">
        <v>-8.8157999999999994E-15</v>
      </c>
      <c r="D19" s="9">
        <v>-1.7631999999999999E-14</v>
      </c>
      <c r="E19" s="8">
        <v>0</v>
      </c>
      <c r="F19" s="8">
        <v>1</v>
      </c>
      <c r="G19" s="9">
        <v>-2.1600000000000002E-8</v>
      </c>
      <c r="H19" s="8">
        <v>0</v>
      </c>
      <c r="I19" s="8">
        <v>0</v>
      </c>
      <c r="J19" s="9">
        <v>-1.6644E-7</v>
      </c>
      <c r="K19" s="8">
        <v>0</v>
      </c>
      <c r="L19" s="8">
        <v>0</v>
      </c>
      <c r="M19" s="8">
        <v>-22.803000000000001</v>
      </c>
      <c r="N19" s="9">
        <v>-7.9113000000000006E-15</v>
      </c>
      <c r="O19" s="8">
        <v>-25.41</v>
      </c>
      <c r="P19" s="9">
        <v>-1.5822999999999999E-14</v>
      </c>
      <c r="Q19" s="9">
        <v>-7.9113000000000006E-15</v>
      </c>
      <c r="R19" s="9">
        <v>-1.5822999999999999E-14</v>
      </c>
      <c r="S19" s="8">
        <v>1</v>
      </c>
      <c r="T19" s="8">
        <v>17</v>
      </c>
      <c r="U19" s="8">
        <v>0</v>
      </c>
      <c r="V19" s="8">
        <v>0.25</v>
      </c>
      <c r="W19" s="8">
        <v>0.3</v>
      </c>
    </row>
    <row r="20" spans="1:23" x14ac:dyDescent="0.15">
      <c r="A20" s="8">
        <v>1</v>
      </c>
      <c r="B20" s="8">
        <v>-24.378</v>
      </c>
      <c r="C20" s="9">
        <v>-1.4146000000000001E-14</v>
      </c>
      <c r="D20" s="9">
        <v>3.7253000000000003E-8</v>
      </c>
      <c r="E20" s="8">
        <v>0</v>
      </c>
      <c r="F20" s="8">
        <v>1</v>
      </c>
      <c r="G20" s="9">
        <v>-6.6488000000000006E-8</v>
      </c>
      <c r="H20" s="8">
        <v>0</v>
      </c>
      <c r="I20" s="8">
        <v>0</v>
      </c>
      <c r="J20" s="9">
        <v>-1.2508000000000001E-7</v>
      </c>
      <c r="K20" s="8">
        <v>0</v>
      </c>
      <c r="L20" s="8">
        <v>0</v>
      </c>
      <c r="M20" s="8">
        <v>-24.378</v>
      </c>
      <c r="N20" s="9">
        <v>-8.4577000000000002E-15</v>
      </c>
      <c r="O20" s="8">
        <v>-24.774000000000001</v>
      </c>
      <c r="P20" s="9">
        <v>-1.6915E-14</v>
      </c>
      <c r="Q20" s="9">
        <v>-8.4577000000000002E-15</v>
      </c>
      <c r="R20" s="9">
        <v>-1.6915E-14</v>
      </c>
      <c r="S20" s="8">
        <v>1</v>
      </c>
      <c r="T20" s="8">
        <v>18</v>
      </c>
      <c r="U20" s="8">
        <v>0</v>
      </c>
      <c r="V20" s="8">
        <v>0.25</v>
      </c>
      <c r="W20" s="8">
        <v>0.3</v>
      </c>
    </row>
    <row r="21" spans="1:23" x14ac:dyDescent="0.15">
      <c r="A21" s="8">
        <v>1</v>
      </c>
      <c r="B21" s="8">
        <v>-25.027999999999999</v>
      </c>
      <c r="C21" s="9">
        <v>-8.3121000000000003E-15</v>
      </c>
      <c r="D21" s="9">
        <v>-1.6623999999999999E-14</v>
      </c>
      <c r="E21" s="8">
        <v>0</v>
      </c>
      <c r="F21" s="8">
        <v>1</v>
      </c>
      <c r="G21" s="9">
        <v>-7.6289000000000002E-8</v>
      </c>
      <c r="H21" s="8">
        <v>0</v>
      </c>
      <c r="I21" s="8">
        <v>0</v>
      </c>
      <c r="J21" s="9">
        <v>-8.3976999999999998E-8</v>
      </c>
      <c r="K21" s="8">
        <v>0</v>
      </c>
      <c r="L21" s="8">
        <v>0</v>
      </c>
      <c r="M21" s="8">
        <v>-25.027999999999999</v>
      </c>
      <c r="N21" s="9">
        <v>-8.6832999999999997E-15</v>
      </c>
      <c r="O21" s="8">
        <v>-23.957999999999998</v>
      </c>
      <c r="P21" s="9">
        <v>-1.7367E-14</v>
      </c>
      <c r="Q21" s="9">
        <v>-8.6832999999999997E-15</v>
      </c>
      <c r="R21" s="9">
        <v>-1.7367E-14</v>
      </c>
      <c r="S21" s="8">
        <v>1</v>
      </c>
      <c r="T21" s="8">
        <v>19</v>
      </c>
      <c r="U21" s="8">
        <v>0</v>
      </c>
      <c r="V21" s="8">
        <v>0.25</v>
      </c>
      <c r="W21" s="8">
        <v>0.3</v>
      </c>
    </row>
    <row r="22" spans="1:23" x14ac:dyDescent="0.15">
      <c r="A22" s="8">
        <v>1</v>
      </c>
      <c r="B22" s="8">
        <v>-25.227</v>
      </c>
      <c r="C22" s="9">
        <v>-8.1262999999999995E-15</v>
      </c>
      <c r="D22" s="9">
        <v>-1.6253E-14</v>
      </c>
      <c r="E22" s="8">
        <v>0</v>
      </c>
      <c r="F22" s="8">
        <v>1</v>
      </c>
      <c r="G22" s="9">
        <v>-7.1707999999999996E-8</v>
      </c>
      <c r="H22" s="8">
        <v>0</v>
      </c>
      <c r="I22" s="8">
        <v>0</v>
      </c>
      <c r="J22" s="9">
        <v>-5.6468E-8</v>
      </c>
      <c r="K22" s="8">
        <v>0</v>
      </c>
      <c r="L22" s="8">
        <v>0</v>
      </c>
      <c r="M22" s="8">
        <v>-25.227</v>
      </c>
      <c r="N22" s="9">
        <v>-8.7524000000000008E-15</v>
      </c>
      <c r="O22" s="8">
        <v>-23.422999999999998</v>
      </c>
      <c r="P22" s="9">
        <v>-1.7505E-14</v>
      </c>
      <c r="Q22" s="9">
        <v>-8.7524000000000008E-15</v>
      </c>
      <c r="R22" s="9">
        <v>-1.7505E-14</v>
      </c>
      <c r="S22" s="8">
        <v>1</v>
      </c>
      <c r="T22" s="8">
        <v>20</v>
      </c>
      <c r="U22" s="8">
        <v>0</v>
      </c>
      <c r="V22" s="8">
        <v>0.25</v>
      </c>
      <c r="W22" s="8">
        <v>0.3</v>
      </c>
    </row>
    <row r="23" spans="1:23" x14ac:dyDescent="0.15">
      <c r="A23" s="8">
        <v>1</v>
      </c>
      <c r="B23" s="8">
        <v>-25.283000000000001</v>
      </c>
      <c r="C23" s="9">
        <v>-9.3131999999999996E-9</v>
      </c>
      <c r="D23" s="9">
        <v>9.3131999999999996E-9</v>
      </c>
      <c r="E23" s="8">
        <v>0</v>
      </c>
      <c r="F23" s="8">
        <v>1</v>
      </c>
      <c r="G23" s="9">
        <v>-6.3829999999999997E-8</v>
      </c>
      <c r="H23" s="8">
        <v>0</v>
      </c>
      <c r="I23" s="8">
        <v>0</v>
      </c>
      <c r="J23" s="9">
        <v>-3.9311E-8</v>
      </c>
      <c r="K23" s="8">
        <v>0</v>
      </c>
      <c r="L23" s="8">
        <v>0</v>
      </c>
      <c r="M23" s="8">
        <v>-25.283000000000001</v>
      </c>
      <c r="N23" s="9">
        <v>-8.7719000000000004E-15</v>
      </c>
      <c r="O23" s="8">
        <v>-23.140999999999998</v>
      </c>
      <c r="P23" s="9">
        <v>-1.7544E-14</v>
      </c>
      <c r="Q23" s="9">
        <v>-8.7719000000000004E-15</v>
      </c>
      <c r="R23" s="9">
        <v>-1.7544E-14</v>
      </c>
      <c r="S23" s="8">
        <v>1</v>
      </c>
      <c r="T23" s="8">
        <v>21</v>
      </c>
      <c r="U23" s="8">
        <v>0</v>
      </c>
      <c r="V23" s="8">
        <v>0.25</v>
      </c>
      <c r="W23" s="8">
        <v>0.3</v>
      </c>
    </row>
    <row r="24" spans="1:23" x14ac:dyDescent="0.15">
      <c r="A24" s="8">
        <v>1</v>
      </c>
      <c r="B24" s="8">
        <v>-25.311</v>
      </c>
      <c r="C24" s="9">
        <v>-2.4373E-15</v>
      </c>
      <c r="D24" s="9">
        <v>-4.8744999999999998E-15</v>
      </c>
      <c r="E24" s="8">
        <v>0</v>
      </c>
      <c r="F24" s="8">
        <v>1</v>
      </c>
      <c r="G24" s="9">
        <v>-5.6151999999999999E-8</v>
      </c>
      <c r="H24" s="8">
        <v>0</v>
      </c>
      <c r="I24" s="8">
        <v>0</v>
      </c>
      <c r="J24" s="9">
        <v>-2.8403E-8</v>
      </c>
      <c r="K24" s="8">
        <v>0</v>
      </c>
      <c r="L24" s="8">
        <v>0</v>
      </c>
      <c r="M24" s="8">
        <v>-25.311</v>
      </c>
      <c r="N24" s="9">
        <v>-8.7812999999999993E-15</v>
      </c>
      <c r="O24" s="8">
        <v>-23.024999999999999</v>
      </c>
      <c r="P24" s="9">
        <v>-1.7562999999999999E-14</v>
      </c>
      <c r="Q24" s="9">
        <v>-8.7812999999999993E-15</v>
      </c>
      <c r="R24" s="9">
        <v>-1.7562999999999999E-14</v>
      </c>
      <c r="S24" s="8">
        <v>1</v>
      </c>
      <c r="T24" s="8">
        <v>22</v>
      </c>
      <c r="U24" s="8">
        <v>0</v>
      </c>
      <c r="V24" s="8">
        <v>0.25</v>
      </c>
      <c r="W24" s="8">
        <v>0.3</v>
      </c>
    </row>
    <row r="25" spans="1:23" x14ac:dyDescent="0.15">
      <c r="A25" s="8">
        <v>1</v>
      </c>
      <c r="B25" s="8">
        <v>-25.344000000000001</v>
      </c>
      <c r="C25" s="9">
        <v>-7.9833999999999995E-15</v>
      </c>
      <c r="D25" s="9">
        <v>-1.5967000000000001E-14</v>
      </c>
      <c r="E25" s="8">
        <v>0</v>
      </c>
      <c r="F25" s="8">
        <v>1</v>
      </c>
      <c r="G25" s="9">
        <v>-4.9491999999999997E-8</v>
      </c>
      <c r="H25" s="8">
        <v>0</v>
      </c>
      <c r="I25" s="8">
        <v>0</v>
      </c>
      <c r="J25" s="9">
        <v>-2.1185000000000001E-8</v>
      </c>
      <c r="K25" s="8">
        <v>0</v>
      </c>
      <c r="L25" s="8">
        <v>0</v>
      </c>
      <c r="M25" s="8">
        <v>-25.344000000000001</v>
      </c>
      <c r="N25" s="9">
        <v>-8.7930000000000007E-15</v>
      </c>
      <c r="O25" s="8">
        <v>-23.010999999999999</v>
      </c>
      <c r="P25" s="9">
        <v>-1.7586000000000001E-14</v>
      </c>
      <c r="Q25" s="9">
        <v>-8.7930000000000007E-15</v>
      </c>
      <c r="R25" s="9">
        <v>-1.7586000000000001E-14</v>
      </c>
      <c r="S25" s="8">
        <v>1</v>
      </c>
      <c r="T25" s="8">
        <v>23</v>
      </c>
      <c r="U25" s="8">
        <v>0</v>
      </c>
      <c r="V25" s="8">
        <v>0.25</v>
      </c>
      <c r="W25" s="8">
        <v>0.3</v>
      </c>
    </row>
    <row r="26" spans="1:23" x14ac:dyDescent="0.15">
      <c r="A26" s="8">
        <v>1</v>
      </c>
      <c r="B26" s="8">
        <v>-25.393000000000001</v>
      </c>
      <c r="C26" s="9">
        <v>-1.3551999999999999E-14</v>
      </c>
      <c r="D26" s="9">
        <v>3.7253000000000003E-8</v>
      </c>
      <c r="E26" s="8">
        <v>0</v>
      </c>
      <c r="F26" s="8">
        <v>1</v>
      </c>
      <c r="G26" s="9">
        <v>-4.3895999999999998E-8</v>
      </c>
      <c r="H26" s="8">
        <v>0</v>
      </c>
      <c r="I26" s="8">
        <v>0</v>
      </c>
      <c r="J26" s="9">
        <v>-1.6209E-8</v>
      </c>
      <c r="K26" s="8">
        <v>0</v>
      </c>
      <c r="L26" s="8">
        <v>0</v>
      </c>
      <c r="M26" s="8">
        <v>-25.393000000000001</v>
      </c>
      <c r="N26" s="9">
        <v>-8.8098999999999998E-15</v>
      </c>
      <c r="O26" s="8">
        <v>-23.06</v>
      </c>
      <c r="P26" s="9">
        <v>-1.7620000000000002E-14</v>
      </c>
      <c r="Q26" s="9">
        <v>-8.8098999999999998E-15</v>
      </c>
      <c r="R26" s="9">
        <v>-1.7620000000000002E-14</v>
      </c>
      <c r="S26" s="8">
        <v>1</v>
      </c>
      <c r="T26" s="8">
        <v>24</v>
      </c>
      <c r="U26" s="8">
        <v>0</v>
      </c>
      <c r="V26" s="8">
        <v>0.25</v>
      </c>
      <c r="W26" s="8">
        <v>0.3</v>
      </c>
    </row>
    <row r="27" spans="1:23" x14ac:dyDescent="0.15">
      <c r="A27" s="8">
        <v>1</v>
      </c>
      <c r="B27" s="8">
        <v>-25.457000000000001</v>
      </c>
      <c r="C27" s="9">
        <v>-8.0323000000000008E-15</v>
      </c>
      <c r="D27" s="9">
        <v>-1.6064999999999999E-14</v>
      </c>
      <c r="E27" s="8">
        <v>0</v>
      </c>
      <c r="F27" s="8">
        <v>1</v>
      </c>
      <c r="G27" s="9">
        <v>-3.9215999999999999E-8</v>
      </c>
      <c r="H27" s="8">
        <v>0</v>
      </c>
      <c r="I27" s="8">
        <v>0</v>
      </c>
      <c r="J27" s="9">
        <v>-1.2650000000000001E-8</v>
      </c>
      <c r="K27" s="8">
        <v>0</v>
      </c>
      <c r="L27" s="8">
        <v>0</v>
      </c>
      <c r="M27" s="8">
        <v>-25.457000000000001</v>
      </c>
      <c r="N27" s="9">
        <v>-8.8322999999999996E-15</v>
      </c>
      <c r="O27" s="8">
        <v>-23.151</v>
      </c>
      <c r="P27" s="9">
        <v>-1.7665E-14</v>
      </c>
      <c r="Q27" s="9">
        <v>-8.8322999999999996E-15</v>
      </c>
      <c r="R27" s="9">
        <v>-1.7665E-14</v>
      </c>
      <c r="S27" s="8">
        <v>1</v>
      </c>
      <c r="T27" s="8">
        <v>25</v>
      </c>
      <c r="U27" s="8">
        <v>0</v>
      </c>
      <c r="V27" s="8">
        <v>0.25</v>
      </c>
      <c r="W27" s="8">
        <v>0.3</v>
      </c>
    </row>
    <row r="28" spans="1:23" x14ac:dyDescent="0.15">
      <c r="A28" s="8">
        <v>1</v>
      </c>
      <c r="B28" s="8">
        <v>-25.536000000000001</v>
      </c>
      <c r="C28" s="9">
        <v>-1.0848999999999999E-14</v>
      </c>
      <c r="D28" s="9">
        <v>1.8626000000000001E-8</v>
      </c>
      <c r="E28" s="8">
        <v>0</v>
      </c>
      <c r="F28" s="8">
        <v>1</v>
      </c>
      <c r="G28" s="9">
        <v>-3.5284E-8</v>
      </c>
      <c r="H28" s="8">
        <v>0</v>
      </c>
      <c r="I28" s="8">
        <v>0</v>
      </c>
      <c r="J28" s="9">
        <v>-1.0023E-8</v>
      </c>
      <c r="K28" s="8">
        <v>0</v>
      </c>
      <c r="L28" s="8">
        <v>0</v>
      </c>
      <c r="M28" s="8">
        <v>-25.536000000000001</v>
      </c>
      <c r="N28" s="9">
        <v>-8.8594000000000003E-15</v>
      </c>
      <c r="O28" s="8">
        <v>-23.27</v>
      </c>
      <c r="P28" s="9">
        <v>-1.7718999999999999E-14</v>
      </c>
      <c r="Q28" s="9">
        <v>-8.8594000000000003E-15</v>
      </c>
      <c r="R28" s="9">
        <v>-1.7718999999999999E-14</v>
      </c>
      <c r="S28" s="8">
        <v>1</v>
      </c>
      <c r="T28" s="8">
        <v>26</v>
      </c>
      <c r="U28" s="8">
        <v>0</v>
      </c>
      <c r="V28" s="8">
        <v>0.25</v>
      </c>
      <c r="W28" s="8">
        <v>0.3</v>
      </c>
    </row>
    <row r="29" spans="1:23" x14ac:dyDescent="0.15">
      <c r="A29" s="8">
        <v>1</v>
      </c>
      <c r="B29" s="8">
        <v>-25.626000000000001</v>
      </c>
      <c r="C29" s="9">
        <v>-8.1213999999999998E-15</v>
      </c>
      <c r="D29" s="9">
        <v>-1.6243000000000001E-14</v>
      </c>
      <c r="E29" s="8">
        <v>0</v>
      </c>
      <c r="F29" s="8">
        <v>1</v>
      </c>
      <c r="G29" s="9">
        <v>-3.1954000000000003E-8</v>
      </c>
      <c r="H29" s="8">
        <v>0</v>
      </c>
      <c r="I29" s="8">
        <v>0</v>
      </c>
      <c r="J29" s="9">
        <v>-8.0298999999999993E-9</v>
      </c>
      <c r="K29" s="8">
        <v>0</v>
      </c>
      <c r="L29" s="8">
        <v>0</v>
      </c>
      <c r="M29" s="8">
        <v>-25.626000000000001</v>
      </c>
      <c r="N29" s="9">
        <v>-8.8907000000000007E-15</v>
      </c>
      <c r="O29" s="8">
        <v>-23.408000000000001</v>
      </c>
      <c r="P29" s="9">
        <v>-1.7781000000000001E-14</v>
      </c>
      <c r="Q29" s="9">
        <v>-8.8907000000000007E-15</v>
      </c>
      <c r="R29" s="9">
        <v>-1.7781000000000001E-14</v>
      </c>
      <c r="S29" s="8">
        <v>1</v>
      </c>
      <c r="T29" s="8">
        <v>27</v>
      </c>
      <c r="U29" s="8">
        <v>0</v>
      </c>
      <c r="V29" s="8">
        <v>0.25</v>
      </c>
      <c r="W29" s="8">
        <v>0.3</v>
      </c>
    </row>
    <row r="30" spans="1:23" x14ac:dyDescent="0.15">
      <c r="A30" s="8">
        <v>1</v>
      </c>
      <c r="B30" s="8">
        <v>-25.725000000000001</v>
      </c>
      <c r="C30" s="9">
        <v>-8.1740000000000007E-15</v>
      </c>
      <c r="D30" s="9">
        <v>-1.6348000000000001E-14</v>
      </c>
      <c r="E30" s="8">
        <v>0</v>
      </c>
      <c r="F30" s="8">
        <v>1</v>
      </c>
      <c r="G30" s="9">
        <v>-2.9105999999999999E-8</v>
      </c>
      <c r="H30" s="8">
        <v>0</v>
      </c>
      <c r="I30" s="8">
        <v>0</v>
      </c>
      <c r="J30" s="9">
        <v>-6.483E-9</v>
      </c>
      <c r="K30" s="8">
        <v>0</v>
      </c>
      <c r="L30" s="8">
        <v>0</v>
      </c>
      <c r="M30" s="8">
        <v>-25.725000000000001</v>
      </c>
      <c r="N30" s="9">
        <v>-8.9253000000000001E-15</v>
      </c>
      <c r="O30" s="8">
        <v>-23.56</v>
      </c>
      <c r="P30" s="9">
        <v>-1.7851000000000001E-14</v>
      </c>
      <c r="Q30" s="9">
        <v>-8.9253000000000001E-15</v>
      </c>
      <c r="R30" s="9">
        <v>-1.7851000000000001E-14</v>
      </c>
      <c r="S30" s="8">
        <v>1</v>
      </c>
      <c r="T30" s="8">
        <v>28</v>
      </c>
      <c r="U30" s="8">
        <v>0</v>
      </c>
      <c r="V30" s="8">
        <v>0.25</v>
      </c>
      <c r="W30" s="8">
        <v>0.3</v>
      </c>
    </row>
    <row r="31" spans="1:23" x14ac:dyDescent="0.15">
      <c r="A31" s="8">
        <v>1</v>
      </c>
      <c r="B31" s="8">
        <v>-25.832999999999998</v>
      </c>
      <c r="C31" s="9">
        <v>-8.2299000000000007E-15</v>
      </c>
      <c r="D31" s="9">
        <v>-1.646E-14</v>
      </c>
      <c r="E31" s="8">
        <v>0</v>
      </c>
      <c r="F31" s="8">
        <v>1</v>
      </c>
      <c r="G31" s="9">
        <v>-2.665E-8</v>
      </c>
      <c r="H31" s="8">
        <v>0</v>
      </c>
      <c r="I31" s="8">
        <v>0</v>
      </c>
      <c r="J31" s="9">
        <v>-5.2581999999999999E-9</v>
      </c>
      <c r="K31" s="8">
        <v>0</v>
      </c>
      <c r="L31" s="8">
        <v>0</v>
      </c>
      <c r="M31" s="8">
        <v>-25.832999999999998</v>
      </c>
      <c r="N31" s="9">
        <v>-8.9625999999999993E-15</v>
      </c>
      <c r="O31" s="8">
        <v>-23.721</v>
      </c>
      <c r="P31" s="9">
        <v>-1.7925E-14</v>
      </c>
      <c r="Q31" s="9">
        <v>-8.9625999999999993E-15</v>
      </c>
      <c r="R31" s="9">
        <v>-1.7925E-14</v>
      </c>
      <c r="S31" s="8">
        <v>1</v>
      </c>
      <c r="T31" s="8">
        <v>29</v>
      </c>
      <c r="U31" s="8">
        <v>0</v>
      </c>
      <c r="V31" s="8">
        <v>0.25</v>
      </c>
      <c r="W31" s="8">
        <v>0.3</v>
      </c>
    </row>
    <row r="32" spans="1:23" x14ac:dyDescent="0.15">
      <c r="A32" s="8">
        <v>1</v>
      </c>
      <c r="B32" s="8">
        <v>-25.946999999999999</v>
      </c>
      <c r="C32" s="9">
        <v>-8.2883000000000002E-15</v>
      </c>
      <c r="D32" s="9">
        <v>-1.6577000000000001E-14</v>
      </c>
      <c r="E32" s="8">
        <v>0</v>
      </c>
      <c r="F32" s="8">
        <v>1</v>
      </c>
      <c r="G32" s="9">
        <v>-2.4512999999999999E-8</v>
      </c>
      <c r="H32" s="8">
        <v>0</v>
      </c>
      <c r="I32" s="8">
        <v>0</v>
      </c>
      <c r="J32" s="9">
        <v>-4.2718000000000001E-9</v>
      </c>
      <c r="K32" s="8">
        <v>0</v>
      </c>
      <c r="L32" s="8">
        <v>0</v>
      </c>
      <c r="M32" s="8">
        <v>-25.946999999999999</v>
      </c>
      <c r="N32" s="9">
        <v>-9.0021000000000001E-15</v>
      </c>
      <c r="O32" s="8">
        <v>-23.888999999999999</v>
      </c>
      <c r="P32" s="9">
        <v>-1.8004000000000001E-14</v>
      </c>
      <c r="Q32" s="9">
        <v>-9.0021000000000001E-15</v>
      </c>
      <c r="R32" s="9">
        <v>-1.8004000000000001E-14</v>
      </c>
      <c r="S32" s="8">
        <v>1</v>
      </c>
      <c r="T32" s="8">
        <v>30</v>
      </c>
      <c r="U32" s="8">
        <v>0</v>
      </c>
      <c r="V32" s="8">
        <v>0.25</v>
      </c>
      <c r="W32" s="8">
        <v>0.3</v>
      </c>
    </row>
    <row r="33" spans="1:23" x14ac:dyDescent="0.15">
      <c r="A33" s="8">
        <v>1</v>
      </c>
      <c r="B33" s="8">
        <v>-26.065999999999999</v>
      </c>
      <c r="C33" s="9">
        <v>-8.3483999999999997E-15</v>
      </c>
      <c r="D33" s="9">
        <v>-1.6697000000000001E-14</v>
      </c>
      <c r="E33" s="8">
        <v>0</v>
      </c>
      <c r="F33" s="8">
        <v>1</v>
      </c>
      <c r="G33" s="9">
        <v>-2.2638999999999998E-8</v>
      </c>
      <c r="H33" s="8">
        <v>0</v>
      </c>
      <c r="I33" s="8">
        <v>0</v>
      </c>
      <c r="J33" s="9">
        <v>-3.4653E-9</v>
      </c>
      <c r="K33" s="8">
        <v>0</v>
      </c>
      <c r="L33" s="8">
        <v>0</v>
      </c>
      <c r="M33" s="8">
        <v>-26.065999999999999</v>
      </c>
      <c r="N33" s="9">
        <v>-9.0434000000000002E-15</v>
      </c>
      <c r="O33" s="8">
        <v>-24.062999999999999</v>
      </c>
      <c r="P33" s="9">
        <v>-1.8086999999999999E-14</v>
      </c>
      <c r="Q33" s="9">
        <v>-9.0434000000000002E-15</v>
      </c>
      <c r="R33" s="9">
        <v>-1.8086999999999999E-14</v>
      </c>
      <c r="S33" s="8">
        <v>1</v>
      </c>
      <c r="T33" s="8">
        <v>31</v>
      </c>
      <c r="U33" s="8">
        <v>0</v>
      </c>
      <c r="V33" s="8">
        <v>0.25</v>
      </c>
      <c r="W33" s="8">
        <v>0.3</v>
      </c>
    </row>
    <row r="34" spans="1:23" x14ac:dyDescent="0.15">
      <c r="A34" s="8">
        <v>1</v>
      </c>
      <c r="B34" s="8">
        <v>-26.189</v>
      </c>
      <c r="C34" s="9">
        <v>-8.4098999999999997E-15</v>
      </c>
      <c r="D34" s="9">
        <v>-1.6820000000000001E-14</v>
      </c>
      <c r="E34" s="8">
        <v>0</v>
      </c>
      <c r="F34" s="8">
        <v>1</v>
      </c>
      <c r="G34" s="9">
        <v>-2.0981999999999999E-8</v>
      </c>
      <c r="H34" s="8">
        <v>0</v>
      </c>
      <c r="I34" s="8">
        <v>0</v>
      </c>
      <c r="J34" s="9">
        <v>-2.7973999999999999E-9</v>
      </c>
      <c r="K34" s="8">
        <v>0</v>
      </c>
      <c r="L34" s="8">
        <v>0</v>
      </c>
      <c r="M34" s="8">
        <v>-26.189</v>
      </c>
      <c r="N34" s="9">
        <v>-9.0862999999999994E-15</v>
      </c>
      <c r="O34" s="8">
        <v>-24.24</v>
      </c>
      <c r="P34" s="9">
        <v>-1.8172999999999999E-14</v>
      </c>
      <c r="Q34" s="9">
        <v>-9.0862999999999994E-15</v>
      </c>
      <c r="R34" s="9">
        <v>-1.8172999999999999E-14</v>
      </c>
      <c r="S34" s="8">
        <v>1</v>
      </c>
      <c r="T34" s="8">
        <v>32</v>
      </c>
      <c r="U34" s="8">
        <v>0</v>
      </c>
      <c r="V34" s="8">
        <v>0.25</v>
      </c>
      <c r="W34" s="8">
        <v>0.3</v>
      </c>
    </row>
    <row r="35" spans="1:23" x14ac:dyDescent="0.15">
      <c r="A35" s="8">
        <v>1</v>
      </c>
      <c r="B35" s="8">
        <v>-26.315999999999999</v>
      </c>
      <c r="C35" s="9">
        <v>-1.4022999999999999E-14</v>
      </c>
      <c r="D35" s="9">
        <v>3.7253000000000003E-8</v>
      </c>
      <c r="E35" s="8">
        <v>0</v>
      </c>
      <c r="F35" s="8">
        <v>1</v>
      </c>
      <c r="G35" s="9">
        <v>-1.9507999999999998E-8</v>
      </c>
      <c r="H35" s="8">
        <v>0</v>
      </c>
      <c r="I35" s="8">
        <v>0</v>
      </c>
      <c r="J35" s="9">
        <v>-2.2377999999999999E-9</v>
      </c>
      <c r="K35" s="8">
        <v>0</v>
      </c>
      <c r="L35" s="8">
        <v>0</v>
      </c>
      <c r="M35" s="8">
        <v>-26.315999999999999</v>
      </c>
      <c r="N35" s="9">
        <v>-9.1302999999999993E-15</v>
      </c>
      <c r="O35" s="8">
        <v>-24.42</v>
      </c>
      <c r="P35" s="9">
        <v>-1.8260999999999999E-14</v>
      </c>
      <c r="Q35" s="9">
        <v>-9.1302999999999993E-15</v>
      </c>
      <c r="R35" s="9">
        <v>-1.8260999999999999E-14</v>
      </c>
      <c r="S35" s="8">
        <v>1</v>
      </c>
      <c r="T35" s="8">
        <v>33</v>
      </c>
      <c r="U35" s="8">
        <v>0</v>
      </c>
      <c r="V35" s="8">
        <v>0.25</v>
      </c>
      <c r="W35" s="8">
        <v>0.3</v>
      </c>
    </row>
    <row r="36" spans="1:23" x14ac:dyDescent="0.15">
      <c r="A36" s="8">
        <v>1</v>
      </c>
      <c r="B36" s="8">
        <v>-26.446000000000002</v>
      </c>
      <c r="C36" s="9">
        <v>-8.5352999999999997E-15</v>
      </c>
      <c r="D36" s="9">
        <v>-1.7071E-14</v>
      </c>
      <c r="E36" s="8">
        <v>0</v>
      </c>
      <c r="F36" s="8">
        <v>1</v>
      </c>
      <c r="G36" s="9">
        <v>-1.8189000000000002E-8</v>
      </c>
      <c r="H36" s="8">
        <v>0</v>
      </c>
      <c r="I36" s="8">
        <v>0</v>
      </c>
      <c r="J36" s="9">
        <v>-1.7639999999999999E-9</v>
      </c>
      <c r="K36" s="8">
        <v>0</v>
      </c>
      <c r="L36" s="8">
        <v>0</v>
      </c>
      <c r="M36" s="8">
        <v>-26.446000000000002</v>
      </c>
      <c r="N36" s="9">
        <v>-9.1754E-15</v>
      </c>
      <c r="O36" s="8">
        <v>-24.600999999999999</v>
      </c>
      <c r="P36" s="9">
        <v>-1.8350999999999999E-14</v>
      </c>
      <c r="Q36" s="9">
        <v>-9.1754E-15</v>
      </c>
      <c r="R36" s="9">
        <v>-1.8350999999999999E-14</v>
      </c>
      <c r="S36" s="8">
        <v>1</v>
      </c>
      <c r="T36" s="8">
        <v>34</v>
      </c>
      <c r="U36" s="8">
        <v>0</v>
      </c>
      <c r="V36" s="8">
        <v>0.25</v>
      </c>
      <c r="W36" s="8">
        <v>0.3</v>
      </c>
    </row>
    <row r="37" spans="1:23" x14ac:dyDescent="0.15">
      <c r="A37" s="8">
        <v>1</v>
      </c>
      <c r="B37" s="8">
        <v>-26.579000000000001</v>
      </c>
      <c r="C37" s="9">
        <v>-8.5989000000000002E-15</v>
      </c>
      <c r="D37" s="9">
        <v>-1.7197999999999999E-14</v>
      </c>
      <c r="E37" s="8">
        <v>0</v>
      </c>
      <c r="F37" s="8">
        <v>1</v>
      </c>
      <c r="G37" s="9">
        <v>-1.7001000000000001E-8</v>
      </c>
      <c r="H37" s="8">
        <v>0</v>
      </c>
      <c r="I37" s="8">
        <v>0</v>
      </c>
      <c r="J37" s="9">
        <v>-1.3593000000000001E-9</v>
      </c>
      <c r="K37" s="8">
        <v>0</v>
      </c>
      <c r="L37" s="8">
        <v>0</v>
      </c>
      <c r="M37" s="8">
        <v>-26.579000000000001</v>
      </c>
      <c r="N37" s="9">
        <v>-3.1425999999999999E-14</v>
      </c>
      <c r="O37" s="8">
        <v>-24.785</v>
      </c>
      <c r="P37" s="9">
        <v>1.4901000000000001E-7</v>
      </c>
      <c r="Q37" s="9">
        <v>-3.1425999999999999E-14</v>
      </c>
      <c r="R37" s="9">
        <v>1.4901000000000001E-7</v>
      </c>
      <c r="S37" s="8">
        <v>1</v>
      </c>
      <c r="T37" s="8">
        <v>35</v>
      </c>
      <c r="U37" s="8">
        <v>0</v>
      </c>
      <c r="V37" s="8">
        <v>0.25</v>
      </c>
      <c r="W37" s="8">
        <v>0.3</v>
      </c>
    </row>
    <row r="38" spans="1:23" x14ac:dyDescent="0.15">
      <c r="A38" s="8">
        <v>1</v>
      </c>
      <c r="B38" s="8">
        <v>-26.713000000000001</v>
      </c>
      <c r="C38" s="9">
        <v>-8.6628000000000003E-15</v>
      </c>
      <c r="D38" s="9">
        <v>-1.7326000000000001E-14</v>
      </c>
      <c r="E38" s="8">
        <v>0</v>
      </c>
      <c r="F38" s="8">
        <v>1</v>
      </c>
      <c r="G38" s="9">
        <v>-1.5926E-8</v>
      </c>
      <c r="H38" s="8">
        <v>0</v>
      </c>
      <c r="I38" s="8">
        <v>0</v>
      </c>
      <c r="J38" s="9">
        <v>-1.0107E-9</v>
      </c>
      <c r="K38" s="8">
        <v>0</v>
      </c>
      <c r="L38" s="8">
        <v>0</v>
      </c>
      <c r="M38" s="8">
        <v>-26.713000000000001</v>
      </c>
      <c r="N38" s="9">
        <v>-9.2679000000000006E-15</v>
      </c>
      <c r="O38" s="8">
        <v>-24.969000000000001</v>
      </c>
      <c r="P38" s="9">
        <v>-1.8536E-14</v>
      </c>
      <c r="Q38" s="9">
        <v>-9.2679000000000006E-15</v>
      </c>
      <c r="R38" s="9">
        <v>-1.8536E-14</v>
      </c>
      <c r="S38" s="8">
        <v>1</v>
      </c>
      <c r="T38" s="8">
        <v>36</v>
      </c>
      <c r="U38" s="8">
        <v>0</v>
      </c>
      <c r="V38" s="8">
        <v>0.25</v>
      </c>
      <c r="W38" s="8">
        <v>0.3</v>
      </c>
    </row>
    <row r="39" spans="1:23" x14ac:dyDescent="0.15">
      <c r="A39" s="8">
        <v>1</v>
      </c>
      <c r="B39" s="8">
        <v>-26.849</v>
      </c>
      <c r="C39" s="9">
        <v>-1.4278E-14</v>
      </c>
      <c r="D39" s="9">
        <v>3.7253000000000003E-8</v>
      </c>
      <c r="E39" s="8">
        <v>0</v>
      </c>
      <c r="F39" s="8">
        <v>1</v>
      </c>
      <c r="G39" s="9">
        <v>-1.4947999999999999E-8</v>
      </c>
      <c r="H39" s="8">
        <v>0</v>
      </c>
      <c r="I39" s="8">
        <v>0</v>
      </c>
      <c r="J39" s="9">
        <v>-7.0817000000000005E-10</v>
      </c>
      <c r="K39" s="8">
        <v>0</v>
      </c>
      <c r="L39" s="8">
        <v>0</v>
      </c>
      <c r="M39" s="8">
        <v>-26.849</v>
      </c>
      <c r="N39" s="9">
        <v>-9.3149999999999993E-15</v>
      </c>
      <c r="O39" s="8">
        <v>-25.152999999999999</v>
      </c>
      <c r="P39" s="9">
        <v>-1.8629999999999999E-14</v>
      </c>
      <c r="Q39" s="9">
        <v>-9.3149999999999993E-15</v>
      </c>
      <c r="R39" s="9">
        <v>-1.8629999999999999E-14</v>
      </c>
      <c r="S39" s="8">
        <v>1</v>
      </c>
      <c r="T39" s="8">
        <v>37</v>
      </c>
      <c r="U39" s="8">
        <v>0</v>
      </c>
      <c r="V39" s="8">
        <v>0.25</v>
      </c>
      <c r="W39" s="8">
        <v>0.3</v>
      </c>
    </row>
    <row r="40" spans="1:23" x14ac:dyDescent="0.15">
      <c r="A40" s="8">
        <v>1</v>
      </c>
      <c r="B40" s="8">
        <v>-26.986000000000001</v>
      </c>
      <c r="C40" s="9">
        <v>-8.7909999999999995E-15</v>
      </c>
      <c r="D40" s="9">
        <v>-1.7581999999999999E-14</v>
      </c>
      <c r="E40" s="8">
        <v>0</v>
      </c>
      <c r="F40" s="8">
        <v>1</v>
      </c>
      <c r="G40" s="9">
        <v>-1.4055000000000001E-8</v>
      </c>
      <c r="H40" s="8">
        <v>0</v>
      </c>
      <c r="I40" s="8">
        <v>0</v>
      </c>
      <c r="J40" s="9">
        <v>-4.4385000000000002E-10</v>
      </c>
      <c r="K40" s="8">
        <v>0</v>
      </c>
      <c r="L40" s="8">
        <v>0</v>
      </c>
      <c r="M40" s="8">
        <v>-26.986000000000001</v>
      </c>
      <c r="N40" s="9">
        <v>-9.3625999999999995E-15</v>
      </c>
      <c r="O40" s="8">
        <v>-25.338000000000001</v>
      </c>
      <c r="P40" s="9">
        <v>-1.8725E-14</v>
      </c>
      <c r="Q40" s="9">
        <v>-9.3625999999999995E-15</v>
      </c>
      <c r="R40" s="9">
        <v>-1.8725E-14</v>
      </c>
      <c r="S40" s="8">
        <v>1</v>
      </c>
      <c r="T40" s="8">
        <v>38</v>
      </c>
      <c r="U40" s="8">
        <v>0</v>
      </c>
      <c r="V40" s="8">
        <v>0.25</v>
      </c>
      <c r="W40" s="8">
        <v>0.3</v>
      </c>
    </row>
    <row r="41" spans="1:23" x14ac:dyDescent="0.15">
      <c r="A41" s="8">
        <v>1</v>
      </c>
      <c r="B41" s="8">
        <v>-27.123999999999999</v>
      </c>
      <c r="C41" s="9">
        <v>-8.8550999999999999E-15</v>
      </c>
      <c r="D41" s="9">
        <v>-1.7710000000000001E-14</v>
      </c>
      <c r="E41" s="8">
        <v>0</v>
      </c>
      <c r="F41" s="8">
        <v>1</v>
      </c>
      <c r="G41" s="9">
        <v>-1.3236E-8</v>
      </c>
      <c r="H41" s="8">
        <v>0</v>
      </c>
      <c r="I41" s="8">
        <v>0</v>
      </c>
      <c r="J41" s="9">
        <v>-2.1146999999999999E-10</v>
      </c>
      <c r="K41" s="8">
        <v>0</v>
      </c>
      <c r="L41" s="8">
        <v>0</v>
      </c>
      <c r="M41" s="8">
        <v>-27.123999999999999</v>
      </c>
      <c r="N41" s="9">
        <v>-9.4104999999999994E-15</v>
      </c>
      <c r="O41" s="8">
        <v>-25.523</v>
      </c>
      <c r="P41" s="9">
        <v>-1.8820999999999999E-14</v>
      </c>
      <c r="Q41" s="9">
        <v>-9.4104999999999994E-15</v>
      </c>
      <c r="R41" s="9">
        <v>-1.8820999999999999E-14</v>
      </c>
      <c r="S41" s="8">
        <v>1</v>
      </c>
      <c r="T41" s="8">
        <v>39</v>
      </c>
      <c r="U41" s="8">
        <v>0</v>
      </c>
      <c r="V41" s="8">
        <v>0.25</v>
      </c>
      <c r="W41" s="8">
        <v>0.3</v>
      </c>
    </row>
    <row r="42" spans="1:23" x14ac:dyDescent="0.15">
      <c r="A42" s="8">
        <v>1</v>
      </c>
      <c r="B42" s="8">
        <v>-27.263000000000002</v>
      </c>
      <c r="C42" s="9">
        <v>-8.9192000000000003E-15</v>
      </c>
      <c r="D42" s="9">
        <v>-1.7838E-14</v>
      </c>
      <c r="E42" s="8">
        <v>0</v>
      </c>
      <c r="F42" s="8">
        <v>1</v>
      </c>
      <c r="G42" s="9">
        <v>-1.2480999999999999E-8</v>
      </c>
      <c r="H42" s="8">
        <v>0</v>
      </c>
      <c r="I42" s="8">
        <v>0</v>
      </c>
      <c r="J42" s="9">
        <v>-6.014E-12</v>
      </c>
      <c r="K42" s="8">
        <v>0</v>
      </c>
      <c r="L42" s="8">
        <v>0</v>
      </c>
      <c r="M42" s="8">
        <v>-27.263000000000002</v>
      </c>
      <c r="N42" s="9">
        <v>-9.4587000000000004E-15</v>
      </c>
      <c r="O42" s="8">
        <v>-25.707999999999998</v>
      </c>
      <c r="P42" s="9">
        <v>-1.8917E-14</v>
      </c>
      <c r="Q42" s="9">
        <v>-9.4587000000000004E-15</v>
      </c>
      <c r="R42" s="9">
        <v>-1.8917E-14</v>
      </c>
      <c r="S42" s="8">
        <v>1</v>
      </c>
      <c r="T42" s="8">
        <v>40</v>
      </c>
      <c r="U42" s="8">
        <v>0</v>
      </c>
      <c r="V42" s="8">
        <v>0.25</v>
      </c>
      <c r="W42" s="8">
        <v>0.3</v>
      </c>
    </row>
    <row r="43" spans="1:23" x14ac:dyDescent="0.15">
      <c r="A43" s="8">
        <v>1</v>
      </c>
      <c r="B43" s="8">
        <v>-27.402000000000001</v>
      </c>
      <c r="C43" s="9">
        <v>-8.9831999999999997E-15</v>
      </c>
      <c r="D43" s="9">
        <v>-1.7965999999999999E-14</v>
      </c>
      <c r="E43" s="8">
        <v>0</v>
      </c>
      <c r="F43" s="8">
        <v>1</v>
      </c>
      <c r="G43" s="9">
        <v>-1.1783E-8</v>
      </c>
      <c r="H43" s="8">
        <v>0</v>
      </c>
      <c r="I43" s="8">
        <v>0</v>
      </c>
      <c r="J43" s="9">
        <v>1.7659999999999999E-10</v>
      </c>
      <c r="K43" s="8">
        <v>0</v>
      </c>
      <c r="L43" s="8">
        <v>0</v>
      </c>
      <c r="M43" s="8">
        <v>-27.402000000000001</v>
      </c>
      <c r="N43" s="9">
        <v>-9.5071000000000002E-15</v>
      </c>
      <c r="O43" s="8">
        <v>-25.891999999999999</v>
      </c>
      <c r="P43" s="9">
        <v>-1.9013999999999999E-14</v>
      </c>
      <c r="Q43" s="9">
        <v>-9.5071000000000002E-15</v>
      </c>
      <c r="R43" s="9">
        <v>-1.9013999999999999E-14</v>
      </c>
      <c r="S43" s="8">
        <v>1</v>
      </c>
      <c r="T43" s="8">
        <v>41</v>
      </c>
      <c r="U43" s="8">
        <v>0</v>
      </c>
      <c r="V43" s="8">
        <v>0.25</v>
      </c>
      <c r="W43" s="8">
        <v>0.3</v>
      </c>
    </row>
    <row r="44" spans="1:23" x14ac:dyDescent="0.15">
      <c r="A44" s="8">
        <v>1</v>
      </c>
      <c r="B44" s="8">
        <v>-27.542000000000002</v>
      </c>
      <c r="C44" s="9">
        <v>-1.4597999999999999E-14</v>
      </c>
      <c r="D44" s="9">
        <v>3.7253000000000003E-8</v>
      </c>
      <c r="E44" s="8">
        <v>0</v>
      </c>
      <c r="F44" s="8">
        <v>1</v>
      </c>
      <c r="G44" s="9">
        <v>-1.1136E-8</v>
      </c>
      <c r="H44" s="8">
        <v>0</v>
      </c>
      <c r="I44" s="8">
        <v>0</v>
      </c>
      <c r="J44" s="9">
        <v>3.3968999999999999E-10</v>
      </c>
      <c r="K44" s="8">
        <v>0</v>
      </c>
      <c r="L44" s="8">
        <v>0</v>
      </c>
      <c r="M44" s="8">
        <v>-27.542000000000002</v>
      </c>
      <c r="N44" s="9">
        <v>-9.5555999999999993E-15</v>
      </c>
      <c r="O44" s="8">
        <v>-26.076000000000001</v>
      </c>
      <c r="P44" s="9">
        <v>-1.9111E-14</v>
      </c>
      <c r="Q44" s="9">
        <v>-9.5555999999999993E-15</v>
      </c>
      <c r="R44" s="9">
        <v>-1.9111E-14</v>
      </c>
      <c r="S44" s="8">
        <v>1</v>
      </c>
      <c r="T44" s="8">
        <v>42</v>
      </c>
      <c r="U44" s="8">
        <v>0</v>
      </c>
      <c r="V44" s="8">
        <v>0.25</v>
      </c>
      <c r="W44" s="8">
        <v>0.3</v>
      </c>
    </row>
    <row r="45" spans="1:23" x14ac:dyDescent="0.15">
      <c r="A45" s="8">
        <v>1</v>
      </c>
      <c r="B45" s="8">
        <v>-27.681999999999999</v>
      </c>
      <c r="C45" s="9">
        <v>-9.1105E-15</v>
      </c>
      <c r="D45" s="9">
        <v>-1.8221E-14</v>
      </c>
      <c r="E45" s="8">
        <v>0</v>
      </c>
      <c r="F45" s="8">
        <v>1</v>
      </c>
      <c r="G45" s="9">
        <v>-1.0534E-8</v>
      </c>
      <c r="H45" s="8">
        <v>0</v>
      </c>
      <c r="I45" s="8">
        <v>0</v>
      </c>
      <c r="J45" s="9">
        <v>4.8600999999999996E-10</v>
      </c>
      <c r="K45" s="8">
        <v>0</v>
      </c>
      <c r="L45" s="8">
        <v>0</v>
      </c>
      <c r="M45" s="8">
        <v>-27.681999999999999</v>
      </c>
      <c r="N45" s="9">
        <v>-9.6043000000000003E-15</v>
      </c>
      <c r="O45" s="8">
        <v>-26.259</v>
      </c>
      <c r="P45" s="9">
        <v>-1.9209000000000001E-14</v>
      </c>
      <c r="Q45" s="9">
        <v>-9.6043000000000003E-15</v>
      </c>
      <c r="R45" s="9">
        <v>-1.9209000000000001E-14</v>
      </c>
      <c r="S45" s="8">
        <v>1</v>
      </c>
      <c r="T45" s="8">
        <v>43</v>
      </c>
      <c r="U45" s="8">
        <v>0</v>
      </c>
      <c r="V45" s="8">
        <v>0.25</v>
      </c>
      <c r="W45" s="8">
        <v>0.3</v>
      </c>
    </row>
    <row r="46" spans="1:23" x14ac:dyDescent="0.15">
      <c r="A46" s="8">
        <v>1</v>
      </c>
      <c r="B46" s="8">
        <v>-27.823</v>
      </c>
      <c r="C46" s="9">
        <v>-1.8626000000000001E-8</v>
      </c>
      <c r="D46" s="9">
        <v>1.8626000000000001E-8</v>
      </c>
      <c r="E46" s="8">
        <v>0</v>
      </c>
      <c r="F46" s="8">
        <v>1</v>
      </c>
      <c r="G46" s="9">
        <v>-9.9718000000000007E-9</v>
      </c>
      <c r="H46" s="8">
        <v>0</v>
      </c>
      <c r="I46" s="8">
        <v>0</v>
      </c>
      <c r="J46" s="9">
        <v>6.1784000000000001E-10</v>
      </c>
      <c r="K46" s="8">
        <v>0</v>
      </c>
      <c r="L46" s="8">
        <v>0</v>
      </c>
      <c r="M46" s="8">
        <v>-27.823</v>
      </c>
      <c r="N46" s="9">
        <v>-9.6529999999999997E-15</v>
      </c>
      <c r="O46" s="8">
        <v>-26.442</v>
      </c>
      <c r="P46" s="9">
        <v>-1.9305999999999999E-14</v>
      </c>
      <c r="Q46" s="9">
        <v>-9.6529999999999997E-15</v>
      </c>
      <c r="R46" s="9">
        <v>-1.9305999999999999E-14</v>
      </c>
      <c r="S46" s="8">
        <v>1</v>
      </c>
      <c r="T46" s="8">
        <v>44</v>
      </c>
      <c r="U46" s="8">
        <v>0</v>
      </c>
      <c r="V46" s="8">
        <v>0.25</v>
      </c>
      <c r="W46" s="8">
        <v>0.3</v>
      </c>
    </row>
    <row r="47" spans="1:23" x14ac:dyDescent="0.15">
      <c r="A47" s="8">
        <v>1</v>
      </c>
      <c r="B47" s="8">
        <v>-27.963000000000001</v>
      </c>
      <c r="C47" s="9">
        <v>-9.2368999999999999E-15</v>
      </c>
      <c r="D47" s="9">
        <v>-1.8473999999999998E-14</v>
      </c>
      <c r="E47" s="8">
        <v>0</v>
      </c>
      <c r="F47" s="8">
        <v>1</v>
      </c>
      <c r="G47" s="9">
        <v>-9.4456999999999993E-9</v>
      </c>
      <c r="H47" s="8">
        <v>0</v>
      </c>
      <c r="I47" s="8">
        <v>0</v>
      </c>
      <c r="J47" s="9">
        <v>7.3707000000000002E-10</v>
      </c>
      <c r="K47" s="8">
        <v>0</v>
      </c>
      <c r="L47" s="8">
        <v>0</v>
      </c>
      <c r="M47" s="8">
        <v>-27.963000000000001</v>
      </c>
      <c r="N47" s="9">
        <v>-9.7017000000000006E-15</v>
      </c>
      <c r="O47" s="8">
        <v>-26.623999999999999</v>
      </c>
      <c r="P47" s="9">
        <v>-1.9403000000000001E-14</v>
      </c>
      <c r="Q47" s="9">
        <v>-9.7017000000000006E-15</v>
      </c>
      <c r="R47" s="9">
        <v>-1.9403000000000001E-14</v>
      </c>
      <c r="S47" s="8">
        <v>1</v>
      </c>
      <c r="T47" s="8">
        <v>45</v>
      </c>
      <c r="U47" s="8">
        <v>0</v>
      </c>
      <c r="V47" s="8">
        <v>0.25</v>
      </c>
      <c r="W47" s="8">
        <v>0.3</v>
      </c>
    </row>
    <row r="48" spans="1:23" x14ac:dyDescent="0.15">
      <c r="A48" s="8">
        <v>1</v>
      </c>
      <c r="B48" s="8">
        <v>-28.103999999999999</v>
      </c>
      <c r="C48" s="9">
        <v>-9.2996999999999992E-15</v>
      </c>
      <c r="D48" s="9">
        <v>-1.8599000000000001E-14</v>
      </c>
      <c r="E48" s="8">
        <v>0</v>
      </c>
      <c r="F48" s="8">
        <v>1</v>
      </c>
      <c r="G48" s="9">
        <v>-8.9517E-9</v>
      </c>
      <c r="H48" s="8">
        <v>0</v>
      </c>
      <c r="I48" s="8">
        <v>0</v>
      </c>
      <c r="J48" s="9">
        <v>8.4531000000000005E-10</v>
      </c>
      <c r="K48" s="8">
        <v>0</v>
      </c>
      <c r="L48" s="8">
        <v>0</v>
      </c>
      <c r="M48" s="8">
        <v>-28.103999999999999</v>
      </c>
      <c r="N48" s="9">
        <v>-9.7504E-15</v>
      </c>
      <c r="O48" s="8">
        <v>-26.805</v>
      </c>
      <c r="P48" s="9">
        <v>-1.9500999999999999E-14</v>
      </c>
      <c r="Q48" s="9">
        <v>-9.7504E-15</v>
      </c>
      <c r="R48" s="9">
        <v>-1.9500999999999999E-14</v>
      </c>
      <c r="S48" s="8">
        <v>1</v>
      </c>
      <c r="T48" s="8">
        <v>46</v>
      </c>
      <c r="U48" s="8">
        <v>0</v>
      </c>
      <c r="V48" s="8">
        <v>0.25</v>
      </c>
      <c r="W48" s="8">
        <v>0.3</v>
      </c>
    </row>
    <row r="49" spans="1:23" x14ac:dyDescent="0.15">
      <c r="A49" s="8">
        <v>1</v>
      </c>
      <c r="B49" s="8">
        <v>-28.244</v>
      </c>
      <c r="C49" s="9">
        <v>-9.3620999999999996E-15</v>
      </c>
      <c r="D49" s="9">
        <v>-1.8724000000000001E-14</v>
      </c>
      <c r="E49" s="8">
        <v>0</v>
      </c>
      <c r="F49" s="8">
        <v>1</v>
      </c>
      <c r="G49" s="9">
        <v>-8.4867999999999993E-9</v>
      </c>
      <c r="H49" s="8">
        <v>0</v>
      </c>
      <c r="I49" s="8">
        <v>0</v>
      </c>
      <c r="J49" s="9">
        <v>9.4390000000000002E-10</v>
      </c>
      <c r="K49" s="8">
        <v>0</v>
      </c>
      <c r="L49" s="8">
        <v>0</v>
      </c>
      <c r="M49" s="8">
        <v>-28.244</v>
      </c>
      <c r="N49" s="9">
        <v>-9.7990999999999994E-15</v>
      </c>
      <c r="O49" s="8">
        <v>-26.984999999999999</v>
      </c>
      <c r="P49" s="9">
        <v>-1.9598E-14</v>
      </c>
      <c r="Q49" s="9">
        <v>-9.7990999999999994E-15</v>
      </c>
      <c r="R49" s="9">
        <v>-1.9598E-14</v>
      </c>
      <c r="S49" s="8">
        <v>1</v>
      </c>
      <c r="T49" s="8">
        <v>47</v>
      </c>
      <c r="U49" s="8">
        <v>0</v>
      </c>
      <c r="V49" s="8">
        <v>0.25</v>
      </c>
      <c r="W49" s="8">
        <v>0.3</v>
      </c>
    </row>
    <row r="50" spans="1:23" x14ac:dyDescent="0.15">
      <c r="A50" s="8">
        <v>1</v>
      </c>
      <c r="B50" s="8">
        <v>-28.384</v>
      </c>
      <c r="C50" s="9">
        <v>-9.4242999999999997E-15</v>
      </c>
      <c r="D50" s="9">
        <v>-1.8849E-14</v>
      </c>
      <c r="E50" s="8">
        <v>0</v>
      </c>
      <c r="F50" s="8">
        <v>1</v>
      </c>
      <c r="G50" s="9">
        <v>-8.0480000000000003E-9</v>
      </c>
      <c r="H50" s="8">
        <v>0</v>
      </c>
      <c r="I50" s="8">
        <v>0</v>
      </c>
      <c r="J50" s="9">
        <v>1.0339999999999999E-9</v>
      </c>
      <c r="K50" s="8">
        <v>0</v>
      </c>
      <c r="L50" s="8">
        <v>0</v>
      </c>
      <c r="M50" s="8">
        <v>-28.384</v>
      </c>
      <c r="N50" s="9">
        <v>-9.8476000000000001E-15</v>
      </c>
      <c r="O50" s="8">
        <v>-27.164000000000001</v>
      </c>
      <c r="P50" s="9">
        <v>-1.9695000000000002E-14</v>
      </c>
      <c r="Q50" s="9">
        <v>-9.8476000000000001E-15</v>
      </c>
      <c r="R50" s="9">
        <v>-1.9695000000000002E-14</v>
      </c>
      <c r="S50" s="8">
        <v>1</v>
      </c>
      <c r="T50" s="8">
        <v>48</v>
      </c>
      <c r="U50" s="8">
        <v>0</v>
      </c>
      <c r="V50" s="8">
        <v>0.25</v>
      </c>
      <c r="W50" s="8">
        <v>0.3</v>
      </c>
    </row>
    <row r="51" spans="1:23" x14ac:dyDescent="0.15">
      <c r="A51" s="8">
        <v>1</v>
      </c>
      <c r="B51" s="8">
        <v>-28.523</v>
      </c>
      <c r="C51" s="9">
        <v>-9.4860999999999993E-15</v>
      </c>
      <c r="D51" s="9">
        <v>-1.8972E-14</v>
      </c>
      <c r="E51" s="8">
        <v>0</v>
      </c>
      <c r="F51" s="8">
        <v>1</v>
      </c>
      <c r="G51" s="9">
        <v>-7.6329999999999996E-9</v>
      </c>
      <c r="H51" s="8">
        <v>0</v>
      </c>
      <c r="I51" s="8">
        <v>0</v>
      </c>
      <c r="J51" s="9">
        <v>1.1166000000000001E-9</v>
      </c>
      <c r="K51" s="8">
        <v>0</v>
      </c>
      <c r="L51" s="8">
        <v>0</v>
      </c>
      <c r="M51" s="8">
        <v>-28.523</v>
      </c>
      <c r="N51" s="9">
        <v>-9.8960999999999992E-15</v>
      </c>
      <c r="O51" s="8">
        <v>-27.341999999999999</v>
      </c>
      <c r="P51" s="9">
        <v>-1.9792E-14</v>
      </c>
      <c r="Q51" s="9">
        <v>-9.8960999999999992E-15</v>
      </c>
      <c r="R51" s="9">
        <v>-1.9792E-14</v>
      </c>
      <c r="S51" s="8">
        <v>1</v>
      </c>
      <c r="T51" s="8">
        <v>49</v>
      </c>
      <c r="U51" s="8">
        <v>0</v>
      </c>
      <c r="V51" s="8">
        <v>0.25</v>
      </c>
      <c r="W51" s="8">
        <v>0.3</v>
      </c>
    </row>
    <row r="52" spans="1:23" x14ac:dyDescent="0.15">
      <c r="A52" s="8">
        <v>1</v>
      </c>
      <c r="B52" s="8">
        <v>-28.663</v>
      </c>
      <c r="C52" s="9">
        <v>-9.5474999999999998E-15</v>
      </c>
      <c r="D52" s="9">
        <v>-1.9095E-14</v>
      </c>
      <c r="E52" s="8">
        <v>0</v>
      </c>
      <c r="F52" s="8">
        <v>1</v>
      </c>
      <c r="G52" s="9">
        <v>-7.2393999999999996E-9</v>
      </c>
      <c r="H52" s="8">
        <v>0</v>
      </c>
      <c r="I52" s="8">
        <v>0</v>
      </c>
      <c r="J52" s="9">
        <v>1.1925E-9</v>
      </c>
      <c r="K52" s="8">
        <v>0</v>
      </c>
      <c r="L52" s="8">
        <v>0</v>
      </c>
      <c r="M52" s="8">
        <v>-28.663</v>
      </c>
      <c r="N52" s="9">
        <v>-9.9443999999999996E-15</v>
      </c>
      <c r="O52" s="8">
        <v>-27.518999999999998</v>
      </c>
      <c r="P52" s="9">
        <v>-1.9889000000000001E-14</v>
      </c>
      <c r="Q52" s="9">
        <v>-9.9443999999999996E-15</v>
      </c>
      <c r="R52" s="9">
        <v>-1.9889000000000001E-14</v>
      </c>
      <c r="S52" s="8">
        <v>1</v>
      </c>
      <c r="T52" s="8">
        <v>50</v>
      </c>
      <c r="U52" s="8">
        <v>0</v>
      </c>
      <c r="V52" s="8">
        <v>0.25</v>
      </c>
      <c r="W52" s="8">
        <v>0.3</v>
      </c>
    </row>
    <row r="53" spans="1:23" x14ac:dyDescent="0.15">
      <c r="A53" s="8">
        <v>1</v>
      </c>
      <c r="B53" s="8">
        <v>-28.800999999999998</v>
      </c>
      <c r="C53" s="9">
        <v>-9.6086000000000008E-15</v>
      </c>
      <c r="D53" s="9">
        <v>-1.9217E-14</v>
      </c>
      <c r="E53" s="8">
        <v>0</v>
      </c>
      <c r="F53" s="8">
        <v>1</v>
      </c>
      <c r="G53" s="9">
        <v>-6.8653000000000003E-9</v>
      </c>
      <c r="H53" s="8">
        <v>0</v>
      </c>
      <c r="I53" s="8">
        <v>0</v>
      </c>
      <c r="J53" s="9">
        <v>1.2624999999999999E-9</v>
      </c>
      <c r="K53" s="8">
        <v>0</v>
      </c>
      <c r="L53" s="8">
        <v>0</v>
      </c>
      <c r="M53" s="8">
        <v>-28.800999999999998</v>
      </c>
      <c r="N53" s="9">
        <v>-9.9924999999999998E-15</v>
      </c>
      <c r="O53" s="8">
        <v>-27.695</v>
      </c>
      <c r="P53" s="9">
        <v>-1.9985E-14</v>
      </c>
      <c r="Q53" s="9">
        <v>-9.9924999999999998E-15</v>
      </c>
      <c r="R53" s="9">
        <v>-1.9985E-14</v>
      </c>
      <c r="S53" s="8">
        <v>1</v>
      </c>
      <c r="T53" s="8">
        <v>51</v>
      </c>
      <c r="U53" s="8">
        <v>0</v>
      </c>
      <c r="V53" s="8">
        <v>0.25</v>
      </c>
      <c r="W53" s="8">
        <v>0.3</v>
      </c>
    </row>
    <row r="54" spans="1:23" x14ac:dyDescent="0.15">
      <c r="A54" s="8">
        <v>1</v>
      </c>
      <c r="B54" s="8">
        <v>-28.94</v>
      </c>
      <c r="C54" s="9">
        <v>-9.6692999999999996E-15</v>
      </c>
      <c r="D54" s="9">
        <v>-1.9339E-14</v>
      </c>
      <c r="E54" s="8">
        <v>0</v>
      </c>
      <c r="F54" s="8">
        <v>1</v>
      </c>
      <c r="G54" s="9">
        <v>-6.5087999999999997E-9</v>
      </c>
      <c r="H54" s="8">
        <v>0</v>
      </c>
      <c r="I54" s="8">
        <v>0</v>
      </c>
      <c r="J54" s="9">
        <v>1.3271999999999999E-9</v>
      </c>
      <c r="K54" s="8">
        <v>0</v>
      </c>
      <c r="L54" s="8">
        <v>0</v>
      </c>
      <c r="M54" s="8">
        <v>-28.94</v>
      </c>
      <c r="N54" s="9">
        <v>-1.0040000000000001E-14</v>
      </c>
      <c r="O54" s="8">
        <v>-27.87</v>
      </c>
      <c r="P54" s="9">
        <v>-2.0081000000000001E-14</v>
      </c>
      <c r="Q54" s="9">
        <v>-1.0040000000000001E-14</v>
      </c>
      <c r="R54" s="9">
        <v>-2.0081000000000001E-14</v>
      </c>
      <c r="S54" s="8">
        <v>1</v>
      </c>
      <c r="T54" s="8">
        <v>52</v>
      </c>
      <c r="U54" s="8">
        <v>0</v>
      </c>
      <c r="V54" s="8">
        <v>0.25</v>
      </c>
      <c r="W54" s="8">
        <v>0.3</v>
      </c>
    </row>
    <row r="55" spans="1:23" x14ac:dyDescent="0.15">
      <c r="A55" s="8">
        <v>1</v>
      </c>
      <c r="B55" s="8">
        <v>-29.077000000000002</v>
      </c>
      <c r="C55" s="9">
        <v>-9.7297000000000003E-15</v>
      </c>
      <c r="D55" s="9">
        <v>-1.9459E-14</v>
      </c>
      <c r="E55" s="8">
        <v>0</v>
      </c>
      <c r="F55" s="8">
        <v>1</v>
      </c>
      <c r="G55" s="9">
        <v>-6.1684999999999999E-9</v>
      </c>
      <c r="H55" s="8">
        <v>0</v>
      </c>
      <c r="I55" s="8">
        <v>0</v>
      </c>
      <c r="J55" s="9">
        <v>1.3871000000000001E-9</v>
      </c>
      <c r="K55" s="8">
        <v>0</v>
      </c>
      <c r="L55" s="8">
        <v>0</v>
      </c>
      <c r="M55" s="8">
        <v>-29.077000000000002</v>
      </c>
      <c r="N55" s="9">
        <v>-1.0088E-14</v>
      </c>
      <c r="O55" s="8">
        <v>-28.044</v>
      </c>
      <c r="P55" s="9">
        <v>-2.0176E-14</v>
      </c>
      <c r="Q55" s="9">
        <v>-1.0088E-14</v>
      </c>
      <c r="R55" s="9">
        <v>-2.0176E-14</v>
      </c>
      <c r="S55" s="8">
        <v>1</v>
      </c>
      <c r="T55" s="8">
        <v>53</v>
      </c>
      <c r="U55" s="8">
        <v>0</v>
      </c>
      <c r="V55" s="8">
        <v>0.25</v>
      </c>
      <c r="W55" s="8">
        <v>0.3</v>
      </c>
    </row>
    <row r="56" spans="1:23" x14ac:dyDescent="0.15">
      <c r="A56" s="8">
        <v>1</v>
      </c>
      <c r="B56" s="8">
        <v>-29.213999999999999</v>
      </c>
      <c r="C56" s="9">
        <v>-9.7895999999999996E-15</v>
      </c>
      <c r="D56" s="9">
        <v>-1.9579E-14</v>
      </c>
      <c r="E56" s="8">
        <v>0</v>
      </c>
      <c r="F56" s="8">
        <v>1</v>
      </c>
      <c r="G56" s="9">
        <v>-5.8427999999999997E-9</v>
      </c>
      <c r="H56" s="8">
        <v>0</v>
      </c>
      <c r="I56" s="8">
        <v>0</v>
      </c>
      <c r="J56" s="9">
        <v>1.4428E-9</v>
      </c>
      <c r="K56" s="8">
        <v>0</v>
      </c>
      <c r="L56" s="8">
        <v>0</v>
      </c>
      <c r="M56" s="8">
        <v>-29.213999999999999</v>
      </c>
      <c r="N56" s="9">
        <v>-1.0136000000000001E-14</v>
      </c>
      <c r="O56" s="8">
        <v>-28.216999999999999</v>
      </c>
      <c r="P56" s="9">
        <v>-2.0272000000000001E-14</v>
      </c>
      <c r="Q56" s="9">
        <v>-1.0136000000000001E-14</v>
      </c>
      <c r="R56" s="9">
        <v>-2.0272000000000001E-14</v>
      </c>
      <c r="S56" s="8">
        <v>1</v>
      </c>
      <c r="T56" s="8">
        <v>54</v>
      </c>
      <c r="U56" s="8">
        <v>0</v>
      </c>
      <c r="V56" s="8">
        <v>0.25</v>
      </c>
      <c r="W56" s="8">
        <v>0.3</v>
      </c>
    </row>
    <row r="57" spans="1:23" x14ac:dyDescent="0.15">
      <c r="A57" s="8">
        <v>1</v>
      </c>
      <c r="B57" s="8">
        <v>-29.350999999999999</v>
      </c>
      <c r="C57" s="9">
        <v>-9.8492000000000008E-15</v>
      </c>
      <c r="D57" s="9">
        <v>-1.9698000000000001E-14</v>
      </c>
      <c r="E57" s="8">
        <v>0</v>
      </c>
      <c r="F57" s="8">
        <v>1</v>
      </c>
      <c r="G57" s="9">
        <v>-5.5305000000000003E-9</v>
      </c>
      <c r="H57" s="8">
        <v>0</v>
      </c>
      <c r="I57" s="8">
        <v>0</v>
      </c>
      <c r="J57" s="9">
        <v>1.4945E-9</v>
      </c>
      <c r="K57" s="8">
        <v>0</v>
      </c>
      <c r="L57" s="8">
        <v>0</v>
      </c>
      <c r="M57" s="8">
        <v>-29.350999999999999</v>
      </c>
      <c r="N57" s="9">
        <v>-1.0183E-14</v>
      </c>
      <c r="O57" s="8">
        <v>-28.388000000000002</v>
      </c>
      <c r="P57" s="9">
        <v>-2.0366E-14</v>
      </c>
      <c r="Q57" s="9">
        <v>-1.0183E-14</v>
      </c>
      <c r="R57" s="9">
        <v>-2.0366E-14</v>
      </c>
      <c r="S57" s="8">
        <v>1</v>
      </c>
      <c r="T57" s="8">
        <v>55</v>
      </c>
      <c r="U57" s="8">
        <v>0</v>
      </c>
      <c r="V57" s="8">
        <v>0.25</v>
      </c>
      <c r="W57" s="8">
        <v>0.3</v>
      </c>
    </row>
    <row r="58" spans="1:23" x14ac:dyDescent="0.15">
      <c r="A58" s="8">
        <v>1</v>
      </c>
      <c r="B58" s="8">
        <v>-29.486000000000001</v>
      </c>
      <c r="C58" s="9">
        <v>-9.9083999999999998E-15</v>
      </c>
      <c r="D58" s="9">
        <v>-1.9817000000000002E-14</v>
      </c>
      <c r="E58" s="8">
        <v>0</v>
      </c>
      <c r="F58" s="8">
        <v>1</v>
      </c>
      <c r="G58" s="9">
        <v>-5.2303E-9</v>
      </c>
      <c r="H58" s="8">
        <v>0</v>
      </c>
      <c r="I58" s="8">
        <v>0</v>
      </c>
      <c r="J58" s="9">
        <v>1.5428000000000001E-9</v>
      </c>
      <c r="K58" s="8">
        <v>0</v>
      </c>
      <c r="L58" s="8">
        <v>0</v>
      </c>
      <c r="M58" s="8">
        <v>-29.486000000000001</v>
      </c>
      <c r="N58" s="9">
        <v>-1.0229999999999999E-14</v>
      </c>
      <c r="O58" s="8">
        <v>-28.559000000000001</v>
      </c>
      <c r="P58" s="9">
        <v>-2.0459999999999999E-14</v>
      </c>
      <c r="Q58" s="9">
        <v>-1.0229999999999999E-14</v>
      </c>
      <c r="R58" s="9">
        <v>-2.0459999999999999E-14</v>
      </c>
      <c r="S58" s="8">
        <v>1</v>
      </c>
      <c r="T58" s="8">
        <v>56</v>
      </c>
      <c r="U58" s="8">
        <v>0</v>
      </c>
      <c r="V58" s="8">
        <v>0.25</v>
      </c>
      <c r="W58" s="8">
        <v>0.3</v>
      </c>
    </row>
    <row r="59" spans="1:23" x14ac:dyDescent="0.15">
      <c r="A59" s="8">
        <v>1</v>
      </c>
      <c r="B59" s="8">
        <v>-29.620999999999999</v>
      </c>
      <c r="C59" s="9">
        <v>-9.9671999999999999E-15</v>
      </c>
      <c r="D59" s="9">
        <v>-1.9933999999999999E-14</v>
      </c>
      <c r="E59" s="8">
        <v>0</v>
      </c>
      <c r="F59" s="8">
        <v>1</v>
      </c>
      <c r="G59" s="9">
        <v>-4.9412000000000003E-9</v>
      </c>
      <c r="H59" s="8">
        <v>0</v>
      </c>
      <c r="I59" s="8">
        <v>0</v>
      </c>
      <c r="J59" s="9">
        <v>1.5878E-9</v>
      </c>
      <c r="K59" s="8">
        <v>0</v>
      </c>
      <c r="L59" s="8">
        <v>0</v>
      </c>
      <c r="M59" s="8">
        <v>-29.620999999999999</v>
      </c>
      <c r="N59" s="9">
        <v>-1.0277E-14</v>
      </c>
      <c r="O59" s="8">
        <v>-28.728000000000002</v>
      </c>
      <c r="P59" s="9">
        <v>-2.0554000000000001E-14</v>
      </c>
      <c r="Q59" s="9">
        <v>-1.0277E-14</v>
      </c>
      <c r="R59" s="9">
        <v>-2.0554000000000001E-14</v>
      </c>
      <c r="S59" s="8">
        <v>1</v>
      </c>
      <c r="T59" s="8">
        <v>57</v>
      </c>
      <c r="U59" s="8">
        <v>0</v>
      </c>
      <c r="V59" s="8">
        <v>0.25</v>
      </c>
      <c r="W59" s="8">
        <v>0.3</v>
      </c>
    </row>
    <row r="60" spans="1:23" x14ac:dyDescent="0.15">
      <c r="A60" s="8">
        <v>1</v>
      </c>
      <c r="B60" s="8">
        <v>-29.754999999999999</v>
      </c>
      <c r="C60" s="9">
        <v>-1.5576999999999999E-14</v>
      </c>
      <c r="D60" s="9">
        <v>3.7253000000000003E-8</v>
      </c>
      <c r="E60" s="8">
        <v>0</v>
      </c>
      <c r="F60" s="8">
        <v>1</v>
      </c>
      <c r="G60" s="9">
        <v>-4.6621000000000003E-9</v>
      </c>
      <c r="H60" s="8">
        <v>0</v>
      </c>
      <c r="I60" s="8">
        <v>0</v>
      </c>
      <c r="J60" s="9">
        <v>1.6298999999999999E-9</v>
      </c>
      <c r="K60" s="8">
        <v>0</v>
      </c>
      <c r="L60" s="8">
        <v>0</v>
      </c>
      <c r="M60" s="8">
        <v>-29.754999999999999</v>
      </c>
      <c r="N60" s="9">
        <v>-1.0323E-14</v>
      </c>
      <c r="O60" s="8">
        <v>-28.896999999999998</v>
      </c>
      <c r="P60" s="9">
        <v>-2.0647E-14</v>
      </c>
      <c r="Q60" s="9">
        <v>-1.0323E-14</v>
      </c>
      <c r="R60" s="9">
        <v>-2.0647E-14</v>
      </c>
      <c r="S60" s="8">
        <v>1</v>
      </c>
      <c r="T60" s="8">
        <v>58</v>
      </c>
      <c r="U60" s="8">
        <v>0</v>
      </c>
      <c r="V60" s="8">
        <v>0.25</v>
      </c>
      <c r="W60" s="8">
        <v>0.3</v>
      </c>
    </row>
    <row r="61" spans="1:23" x14ac:dyDescent="0.15">
      <c r="A61" s="8">
        <v>1</v>
      </c>
      <c r="B61" s="8">
        <v>-29.888000000000002</v>
      </c>
      <c r="C61" s="9">
        <v>-1.0084000000000001E-14</v>
      </c>
      <c r="D61" s="9">
        <v>-2.0167000000000001E-14</v>
      </c>
      <c r="E61" s="8">
        <v>0</v>
      </c>
      <c r="F61" s="8">
        <v>1</v>
      </c>
      <c r="G61" s="9">
        <v>-4.3921000000000002E-9</v>
      </c>
      <c r="H61" s="8">
        <v>0</v>
      </c>
      <c r="I61" s="8">
        <v>0</v>
      </c>
      <c r="J61" s="9">
        <v>1.6694E-9</v>
      </c>
      <c r="K61" s="8">
        <v>0</v>
      </c>
      <c r="L61" s="8">
        <v>0</v>
      </c>
      <c r="M61" s="8">
        <v>-29.888000000000002</v>
      </c>
      <c r="N61" s="9">
        <v>-1.0368999999999999E-14</v>
      </c>
      <c r="O61" s="8">
        <v>-29.064</v>
      </c>
      <c r="P61" s="9">
        <v>-2.0738999999999999E-14</v>
      </c>
      <c r="Q61" s="9">
        <v>-1.0368999999999999E-14</v>
      </c>
      <c r="R61" s="9">
        <v>-2.0738999999999999E-14</v>
      </c>
      <c r="S61" s="8">
        <v>1</v>
      </c>
      <c r="T61" s="8">
        <v>59</v>
      </c>
      <c r="U61" s="8">
        <v>0</v>
      </c>
      <c r="V61" s="8">
        <v>0.25</v>
      </c>
      <c r="W61" s="8">
        <v>0.3</v>
      </c>
    </row>
    <row r="62" spans="1:23" x14ac:dyDescent="0.15">
      <c r="A62" s="8">
        <v>1</v>
      </c>
      <c r="B62" s="8">
        <v>-30.02</v>
      </c>
      <c r="C62" s="9">
        <v>-1.0141E-14</v>
      </c>
      <c r="D62" s="9">
        <v>-2.0281999999999999E-14</v>
      </c>
      <c r="E62" s="8">
        <v>0</v>
      </c>
      <c r="F62" s="8">
        <v>1</v>
      </c>
      <c r="G62" s="9">
        <v>-4.1303999999999997E-9</v>
      </c>
      <c r="H62" s="8">
        <v>0</v>
      </c>
      <c r="I62" s="8">
        <v>0</v>
      </c>
      <c r="J62" s="9">
        <v>1.7064E-9</v>
      </c>
      <c r="K62" s="8">
        <v>0</v>
      </c>
      <c r="L62" s="8">
        <v>0</v>
      </c>
      <c r="M62" s="8">
        <v>-30.02</v>
      </c>
      <c r="N62" s="9">
        <v>-1.0415000000000001E-14</v>
      </c>
      <c r="O62" s="8">
        <v>-29.23</v>
      </c>
      <c r="P62" s="9">
        <v>-2.0831000000000001E-14</v>
      </c>
      <c r="Q62" s="9">
        <v>-1.0415000000000001E-14</v>
      </c>
      <c r="R62" s="9">
        <v>-2.0831000000000001E-14</v>
      </c>
      <c r="S62" s="8">
        <v>1</v>
      </c>
      <c r="T62" s="8">
        <v>60</v>
      </c>
      <c r="U62" s="8">
        <v>0</v>
      </c>
      <c r="V62" s="8">
        <v>0.25</v>
      </c>
      <c r="W62" s="8">
        <v>0.3</v>
      </c>
    </row>
    <row r="63" spans="1:23" x14ac:dyDescent="0.15">
      <c r="A63" s="8">
        <v>1</v>
      </c>
      <c r="B63" s="8">
        <v>-30.151</v>
      </c>
      <c r="C63" s="9">
        <v>-1.0198E-14</v>
      </c>
      <c r="D63" s="9">
        <v>-2.0397000000000001E-14</v>
      </c>
      <c r="E63" s="8">
        <v>0</v>
      </c>
      <c r="F63" s="8">
        <v>1</v>
      </c>
      <c r="G63" s="9">
        <v>-3.8762000000000003E-9</v>
      </c>
      <c r="H63" s="8">
        <v>0</v>
      </c>
      <c r="I63" s="8">
        <v>0</v>
      </c>
      <c r="J63" s="9">
        <v>1.7410999999999999E-9</v>
      </c>
      <c r="K63" s="8">
        <v>0</v>
      </c>
      <c r="L63" s="8">
        <v>0</v>
      </c>
      <c r="M63" s="8">
        <v>-30.151</v>
      </c>
      <c r="N63" s="9">
        <v>-1.0461E-14</v>
      </c>
      <c r="O63" s="8">
        <v>-29.395</v>
      </c>
      <c r="P63" s="9">
        <v>-2.0921000000000001E-14</v>
      </c>
      <c r="Q63" s="9">
        <v>-1.0461E-14</v>
      </c>
      <c r="R63" s="9">
        <v>-2.0921000000000001E-14</v>
      </c>
      <c r="S63" s="8">
        <v>1</v>
      </c>
      <c r="T63" s="8">
        <v>61</v>
      </c>
      <c r="U63" s="8">
        <v>0</v>
      </c>
      <c r="V63" s="8">
        <v>0.25</v>
      </c>
      <c r="W63" s="8">
        <v>0.3</v>
      </c>
    </row>
    <row r="64" spans="1:23" x14ac:dyDescent="0.15">
      <c r="A64" s="8">
        <v>1</v>
      </c>
      <c r="B64" s="8">
        <v>-30.280999999999999</v>
      </c>
      <c r="C64" s="9">
        <v>-1.0255E-14</v>
      </c>
      <c r="D64" s="9">
        <v>-2.0509999999999999E-14</v>
      </c>
      <c r="E64" s="8">
        <v>0</v>
      </c>
      <c r="F64" s="8">
        <v>1</v>
      </c>
      <c r="G64" s="9">
        <v>-3.6286000000000001E-9</v>
      </c>
      <c r="H64" s="8">
        <v>0</v>
      </c>
      <c r="I64" s="8">
        <v>0</v>
      </c>
      <c r="J64" s="9">
        <v>1.7736E-9</v>
      </c>
      <c r="K64" s="8">
        <v>0</v>
      </c>
      <c r="L64" s="8">
        <v>0</v>
      </c>
      <c r="M64" s="8">
        <v>-30.280999999999999</v>
      </c>
      <c r="N64" s="9">
        <v>-1.0506E-14</v>
      </c>
      <c r="O64" s="8">
        <v>-29.558</v>
      </c>
      <c r="P64" s="9">
        <v>-2.1012E-14</v>
      </c>
      <c r="Q64" s="9">
        <v>-1.0506E-14</v>
      </c>
      <c r="R64" s="9">
        <v>-2.1012E-14</v>
      </c>
      <c r="S64" s="8">
        <v>1</v>
      </c>
      <c r="T64" s="8">
        <v>62</v>
      </c>
      <c r="U64" s="8">
        <v>0</v>
      </c>
      <c r="V64" s="8">
        <v>0.25</v>
      </c>
      <c r="W64" s="8">
        <v>0.3</v>
      </c>
    </row>
    <row r="65" spans="1:23" x14ac:dyDescent="0.15">
      <c r="A65" s="8">
        <v>1</v>
      </c>
      <c r="B65" s="8">
        <v>-30.41</v>
      </c>
      <c r="C65" s="9">
        <v>-1.0311000000000001E-14</v>
      </c>
      <c r="D65" s="9">
        <v>-2.0623000000000001E-14</v>
      </c>
      <c r="E65" s="8">
        <v>0</v>
      </c>
      <c r="F65" s="8">
        <v>1</v>
      </c>
      <c r="G65" s="9">
        <v>-3.3871E-9</v>
      </c>
      <c r="H65" s="8">
        <v>0</v>
      </c>
      <c r="I65" s="8">
        <v>0</v>
      </c>
      <c r="J65" s="9">
        <v>1.8042E-9</v>
      </c>
      <c r="K65" s="8">
        <v>0</v>
      </c>
      <c r="L65" s="8">
        <v>0</v>
      </c>
      <c r="M65" s="8">
        <v>-30.41</v>
      </c>
      <c r="N65" s="9">
        <v>-1.0551E-14</v>
      </c>
      <c r="O65" s="8">
        <v>-29.721</v>
      </c>
      <c r="P65" s="9">
        <v>-2.1101E-14</v>
      </c>
      <c r="Q65" s="9">
        <v>-1.0551E-14</v>
      </c>
      <c r="R65" s="9">
        <v>-2.1101E-14</v>
      </c>
      <c r="S65" s="8">
        <v>1</v>
      </c>
      <c r="T65" s="8">
        <v>63</v>
      </c>
      <c r="U65" s="8">
        <v>0</v>
      </c>
      <c r="V65" s="8">
        <v>0.25</v>
      </c>
      <c r="W65" s="8">
        <v>0.3</v>
      </c>
    </row>
    <row r="66" spans="1:23" x14ac:dyDescent="0.15">
      <c r="A66" s="8">
        <v>1</v>
      </c>
      <c r="B66" s="8">
        <v>-30.538</v>
      </c>
      <c r="C66" s="9">
        <v>-1.0367E-14</v>
      </c>
      <c r="D66" s="9">
        <v>-2.0734999999999999E-14</v>
      </c>
      <c r="E66" s="8">
        <v>0</v>
      </c>
      <c r="F66" s="8">
        <v>1</v>
      </c>
      <c r="G66" s="9">
        <v>-3.1508999999999999E-9</v>
      </c>
      <c r="H66" s="8">
        <v>0</v>
      </c>
      <c r="I66" s="8">
        <v>0</v>
      </c>
      <c r="J66" s="9">
        <v>1.8328999999999999E-9</v>
      </c>
      <c r="K66" s="8">
        <v>0</v>
      </c>
      <c r="L66" s="8">
        <v>0</v>
      </c>
      <c r="M66" s="8">
        <v>-30.538</v>
      </c>
      <c r="N66" s="9">
        <v>-1.0595E-14</v>
      </c>
      <c r="O66" s="8">
        <v>-29.882000000000001</v>
      </c>
      <c r="P66" s="9">
        <v>-2.1189999999999999E-14</v>
      </c>
      <c r="Q66" s="9">
        <v>-1.0595E-14</v>
      </c>
      <c r="R66" s="9">
        <v>-2.1189999999999999E-14</v>
      </c>
      <c r="S66" s="8">
        <v>1</v>
      </c>
      <c r="T66" s="8">
        <v>64</v>
      </c>
      <c r="U66" s="8">
        <v>0</v>
      </c>
      <c r="V66" s="8">
        <v>0.25</v>
      </c>
      <c r="W66" s="8">
        <v>0.3</v>
      </c>
    </row>
    <row r="67" spans="1:23" x14ac:dyDescent="0.15">
      <c r="A67" s="8">
        <v>1</v>
      </c>
      <c r="B67" s="8">
        <v>-30.664000000000001</v>
      </c>
      <c r="C67" s="9">
        <v>-1.0423000000000001E-14</v>
      </c>
      <c r="D67" s="9">
        <v>-2.0846000000000001E-14</v>
      </c>
      <c r="E67" s="8">
        <v>0</v>
      </c>
      <c r="F67" s="8">
        <v>1</v>
      </c>
      <c r="G67" s="9">
        <v>-2.9193E-9</v>
      </c>
      <c r="H67" s="8">
        <v>0</v>
      </c>
      <c r="I67" s="8">
        <v>0</v>
      </c>
      <c r="J67" s="9">
        <v>1.8597999999999999E-9</v>
      </c>
      <c r="K67" s="8">
        <v>0</v>
      </c>
      <c r="L67" s="8">
        <v>0</v>
      </c>
      <c r="M67" s="8">
        <v>-30.664000000000001</v>
      </c>
      <c r="N67" s="9">
        <v>-1.0639E-14</v>
      </c>
      <c r="O67" s="8">
        <v>-30.042000000000002</v>
      </c>
      <c r="P67" s="9">
        <v>-2.1277999999999999E-14</v>
      </c>
      <c r="Q67" s="9">
        <v>-1.0639E-14</v>
      </c>
      <c r="R67" s="9">
        <v>-2.1277999999999999E-14</v>
      </c>
      <c r="S67" s="8">
        <v>1</v>
      </c>
      <c r="T67" s="8">
        <v>65</v>
      </c>
      <c r="U67" s="8">
        <v>0</v>
      </c>
      <c r="V67" s="8">
        <v>0.25</v>
      </c>
      <c r="W67" s="8">
        <v>0.3</v>
      </c>
    </row>
    <row r="68" spans="1:23" x14ac:dyDescent="0.15">
      <c r="A68" s="8">
        <v>1</v>
      </c>
      <c r="B68" s="8">
        <v>-30.79</v>
      </c>
      <c r="C68" s="9">
        <v>-1.8626000000000001E-8</v>
      </c>
      <c r="D68" s="9">
        <v>-1.8626000000000001E-8</v>
      </c>
      <c r="E68" s="8">
        <v>0</v>
      </c>
      <c r="F68" s="8">
        <v>1</v>
      </c>
      <c r="G68" s="9">
        <v>-2.6918000000000002E-9</v>
      </c>
      <c r="H68" s="8">
        <v>0</v>
      </c>
      <c r="I68" s="8">
        <v>0</v>
      </c>
      <c r="J68" s="9">
        <v>1.885E-9</v>
      </c>
      <c r="K68" s="8">
        <v>0</v>
      </c>
      <c r="L68" s="8">
        <v>0</v>
      </c>
      <c r="M68" s="8">
        <v>-30.79</v>
      </c>
      <c r="N68" s="9">
        <v>-1.0682E-14</v>
      </c>
      <c r="O68" s="8">
        <v>-30.201000000000001</v>
      </c>
      <c r="P68" s="9">
        <v>-2.1364999999999999E-14</v>
      </c>
      <c r="Q68" s="9">
        <v>-1.0682E-14</v>
      </c>
      <c r="R68" s="9">
        <v>-2.1364999999999999E-14</v>
      </c>
      <c r="S68" s="8">
        <v>1</v>
      </c>
      <c r="T68" s="8">
        <v>66</v>
      </c>
      <c r="U68" s="8">
        <v>0</v>
      </c>
      <c r="V68" s="8">
        <v>0.25</v>
      </c>
      <c r="W68" s="8">
        <v>0.3</v>
      </c>
    </row>
    <row r="69" spans="1:23" x14ac:dyDescent="0.15">
      <c r="A69" s="8">
        <v>1</v>
      </c>
      <c r="B69" s="8">
        <v>-30.914000000000001</v>
      </c>
      <c r="C69" s="9">
        <v>-1.0533E-14</v>
      </c>
      <c r="D69" s="9">
        <v>-2.1066E-14</v>
      </c>
      <c r="E69" s="8">
        <v>0</v>
      </c>
      <c r="F69" s="8">
        <v>1</v>
      </c>
      <c r="G69" s="9">
        <v>-2.4678000000000001E-9</v>
      </c>
      <c r="H69" s="8">
        <v>0</v>
      </c>
      <c r="I69" s="8">
        <v>0</v>
      </c>
      <c r="J69" s="9">
        <v>1.9085000000000002E-9</v>
      </c>
      <c r="K69" s="8">
        <v>0</v>
      </c>
      <c r="L69" s="8">
        <v>0</v>
      </c>
      <c r="M69" s="8">
        <v>-30.914000000000001</v>
      </c>
      <c r="N69" s="9">
        <v>-1.0725E-14</v>
      </c>
      <c r="O69" s="8">
        <v>-30.359000000000002</v>
      </c>
      <c r="P69" s="9">
        <v>-2.1450999999999999E-14</v>
      </c>
      <c r="Q69" s="9">
        <v>-1.0725E-14</v>
      </c>
      <c r="R69" s="9">
        <v>-2.1450999999999999E-14</v>
      </c>
      <c r="S69" s="8">
        <v>1</v>
      </c>
      <c r="T69" s="8">
        <v>67</v>
      </c>
      <c r="U69" s="8">
        <v>0</v>
      </c>
      <c r="V69" s="8">
        <v>0.25</v>
      </c>
      <c r="W69" s="8">
        <v>0.3</v>
      </c>
    </row>
    <row r="70" spans="1:23" x14ac:dyDescent="0.15">
      <c r="A70" s="8">
        <v>1</v>
      </c>
      <c r="B70" s="8">
        <v>-31.036000000000001</v>
      </c>
      <c r="C70" s="9">
        <v>-1.0586999999999999E-14</v>
      </c>
      <c r="D70" s="9">
        <v>-2.1174999999999999E-14</v>
      </c>
      <c r="E70" s="8">
        <v>0</v>
      </c>
      <c r="F70" s="8">
        <v>1</v>
      </c>
      <c r="G70" s="9">
        <v>-2.2466000000000001E-9</v>
      </c>
      <c r="H70" s="8">
        <v>0</v>
      </c>
      <c r="I70" s="8">
        <v>0</v>
      </c>
      <c r="J70" s="9">
        <v>1.9303999999999999E-9</v>
      </c>
      <c r="K70" s="8">
        <v>0</v>
      </c>
      <c r="L70" s="8">
        <v>0</v>
      </c>
      <c r="M70" s="8">
        <v>-31.036000000000001</v>
      </c>
      <c r="N70" s="9">
        <v>-1.0768E-14</v>
      </c>
      <c r="O70" s="8">
        <v>-30.515999999999998</v>
      </c>
      <c r="P70" s="9">
        <v>-2.1536E-14</v>
      </c>
      <c r="Q70" s="9">
        <v>-1.0768E-14</v>
      </c>
      <c r="R70" s="9">
        <v>-2.1536E-14</v>
      </c>
      <c r="S70" s="8">
        <v>1</v>
      </c>
      <c r="T70" s="8">
        <v>68</v>
      </c>
      <c r="U70" s="8">
        <v>0</v>
      </c>
      <c r="V70" s="8">
        <v>0.25</v>
      </c>
      <c r="W70" s="8">
        <v>0.3</v>
      </c>
    </row>
    <row r="71" spans="1:23" x14ac:dyDescent="0.15">
      <c r="A71" s="8">
        <v>1</v>
      </c>
      <c r="B71" s="8">
        <v>-31.157</v>
      </c>
      <c r="C71" s="9">
        <v>-1.0641000000000001E-14</v>
      </c>
      <c r="D71" s="9">
        <v>-2.1282000000000001E-14</v>
      </c>
      <c r="E71" s="8">
        <v>0</v>
      </c>
      <c r="F71" s="8">
        <v>1</v>
      </c>
      <c r="G71" s="9">
        <v>-2.0276999999999999E-9</v>
      </c>
      <c r="H71" s="8">
        <v>0</v>
      </c>
      <c r="I71" s="8">
        <v>0</v>
      </c>
      <c r="J71" s="9">
        <v>1.9507999999999999E-9</v>
      </c>
      <c r="K71" s="8">
        <v>0</v>
      </c>
      <c r="L71" s="8">
        <v>0</v>
      </c>
      <c r="M71" s="8">
        <v>-31.157</v>
      </c>
      <c r="N71" s="9">
        <v>-1.081E-14</v>
      </c>
      <c r="O71" s="8">
        <v>-30.670999999999999</v>
      </c>
      <c r="P71" s="9">
        <v>-2.162E-14</v>
      </c>
      <c r="Q71" s="9">
        <v>-1.081E-14</v>
      </c>
      <c r="R71" s="9">
        <v>-2.162E-14</v>
      </c>
      <c r="S71" s="8">
        <v>1</v>
      </c>
      <c r="T71" s="8">
        <v>69</v>
      </c>
      <c r="U71" s="8">
        <v>0</v>
      </c>
      <c r="V71" s="8">
        <v>0.25</v>
      </c>
      <c r="W71" s="8">
        <v>0.3</v>
      </c>
    </row>
    <row r="72" spans="1:23" x14ac:dyDescent="0.15">
      <c r="A72" s="8">
        <v>1</v>
      </c>
      <c r="B72" s="8">
        <v>-31.277000000000001</v>
      </c>
      <c r="C72" s="9">
        <v>-1.0695E-14</v>
      </c>
      <c r="D72" s="9">
        <v>-2.1389000000000001E-14</v>
      </c>
      <c r="E72" s="8">
        <v>0</v>
      </c>
      <c r="F72" s="8">
        <v>1</v>
      </c>
      <c r="G72" s="9">
        <v>-1.8104999999999999E-9</v>
      </c>
      <c r="H72" s="8">
        <v>0</v>
      </c>
      <c r="I72" s="8">
        <v>0</v>
      </c>
      <c r="J72" s="9">
        <v>1.9694999999999999E-9</v>
      </c>
      <c r="K72" s="8">
        <v>0</v>
      </c>
      <c r="L72" s="8">
        <v>0</v>
      </c>
      <c r="M72" s="8">
        <v>-31.277000000000001</v>
      </c>
      <c r="N72" s="9">
        <v>-1.0851000000000001E-14</v>
      </c>
      <c r="O72" s="8">
        <v>-30.824999999999999</v>
      </c>
      <c r="P72" s="9">
        <v>-2.1703000000000001E-14</v>
      </c>
      <c r="Q72" s="9">
        <v>-1.0851000000000001E-14</v>
      </c>
      <c r="R72" s="9">
        <v>-2.1703000000000001E-14</v>
      </c>
      <c r="S72" s="8">
        <v>1</v>
      </c>
      <c r="T72" s="8">
        <v>70</v>
      </c>
      <c r="U72" s="8">
        <v>0</v>
      </c>
      <c r="V72" s="8">
        <v>0.25</v>
      </c>
      <c r="W72" s="8">
        <v>0.3</v>
      </c>
    </row>
    <row r="73" spans="1:23" x14ac:dyDescent="0.15">
      <c r="A73" s="8">
        <v>1</v>
      </c>
      <c r="B73" s="8">
        <v>-31.395</v>
      </c>
      <c r="C73" s="9">
        <v>-1.0748E-14</v>
      </c>
      <c r="D73" s="9">
        <v>-2.1496000000000001E-14</v>
      </c>
      <c r="E73" s="8">
        <v>0</v>
      </c>
      <c r="F73" s="8">
        <v>1</v>
      </c>
      <c r="G73" s="9">
        <v>-1.5945E-9</v>
      </c>
      <c r="H73" s="8">
        <v>0</v>
      </c>
      <c r="I73" s="8">
        <v>0</v>
      </c>
      <c r="J73" s="9">
        <v>1.9866000000000002E-9</v>
      </c>
      <c r="K73" s="8">
        <v>0</v>
      </c>
      <c r="L73" s="8">
        <v>0</v>
      </c>
      <c r="M73" s="8">
        <v>-31.395</v>
      </c>
      <c r="N73" s="9">
        <v>-1.0891999999999999E-14</v>
      </c>
      <c r="O73" s="8">
        <v>-30.978999999999999</v>
      </c>
      <c r="P73" s="9">
        <v>-2.1784999999999999E-14</v>
      </c>
      <c r="Q73" s="9">
        <v>-1.0891999999999999E-14</v>
      </c>
      <c r="R73" s="9">
        <v>-2.1784999999999999E-14</v>
      </c>
      <c r="S73" s="8">
        <v>1</v>
      </c>
      <c r="T73" s="8">
        <v>71</v>
      </c>
      <c r="U73" s="8">
        <v>0</v>
      </c>
      <c r="V73" s="8">
        <v>0.25</v>
      </c>
      <c r="W73" s="8">
        <v>0.3</v>
      </c>
    </row>
    <row r="74" spans="1:23" x14ac:dyDescent="0.15">
      <c r="A74" s="8">
        <v>1</v>
      </c>
      <c r="B74" s="8">
        <v>-31.512</v>
      </c>
      <c r="C74" s="9">
        <v>-1.0801E-14</v>
      </c>
      <c r="D74" s="9">
        <v>-2.1601000000000001E-14</v>
      </c>
      <c r="E74" s="8">
        <v>0</v>
      </c>
      <c r="F74" s="8">
        <v>1</v>
      </c>
      <c r="G74" s="9">
        <v>-1.3790999999999999E-9</v>
      </c>
      <c r="H74" s="8">
        <v>0</v>
      </c>
      <c r="I74" s="8">
        <v>0</v>
      </c>
      <c r="J74" s="9">
        <v>2.0019999999999999E-9</v>
      </c>
      <c r="K74" s="8">
        <v>0</v>
      </c>
      <c r="L74" s="8">
        <v>0</v>
      </c>
      <c r="M74" s="8">
        <v>-31.512</v>
      </c>
      <c r="N74" s="9">
        <v>-1.0933E-14</v>
      </c>
      <c r="O74" s="8">
        <v>-31.13</v>
      </c>
      <c r="P74" s="9">
        <v>-2.1866E-14</v>
      </c>
      <c r="Q74" s="9">
        <v>-1.0933E-14</v>
      </c>
      <c r="R74" s="9">
        <v>-2.1866E-14</v>
      </c>
      <c r="S74" s="8">
        <v>1</v>
      </c>
      <c r="T74" s="8">
        <v>72</v>
      </c>
      <c r="U74" s="8">
        <v>0</v>
      </c>
      <c r="V74" s="8">
        <v>0.25</v>
      </c>
      <c r="W74" s="8">
        <v>0.3</v>
      </c>
    </row>
    <row r="75" spans="1:23" x14ac:dyDescent="0.15">
      <c r="A75" s="8">
        <v>1</v>
      </c>
      <c r="B75" s="8">
        <v>-31.626000000000001</v>
      </c>
      <c r="C75" s="9">
        <v>-1.0853E-14</v>
      </c>
      <c r="D75" s="9">
        <v>-2.1706E-14</v>
      </c>
      <c r="E75" s="8">
        <v>0</v>
      </c>
      <c r="F75" s="8">
        <v>1</v>
      </c>
      <c r="G75" s="9">
        <v>-1.1637E-9</v>
      </c>
      <c r="H75" s="8">
        <v>0</v>
      </c>
      <c r="I75" s="8">
        <v>0</v>
      </c>
      <c r="J75" s="9">
        <v>2.0157E-9</v>
      </c>
      <c r="K75" s="8">
        <v>0</v>
      </c>
      <c r="L75" s="8">
        <v>0</v>
      </c>
      <c r="M75" s="8">
        <v>-31.626000000000001</v>
      </c>
      <c r="N75" s="9">
        <v>-1.0973000000000001E-14</v>
      </c>
      <c r="O75" s="8">
        <v>-31.280999999999999</v>
      </c>
      <c r="P75" s="9">
        <v>-2.1945000000000001E-14</v>
      </c>
      <c r="Q75" s="9">
        <v>-1.0973000000000001E-14</v>
      </c>
      <c r="R75" s="9">
        <v>-2.1945000000000001E-14</v>
      </c>
      <c r="S75" s="8">
        <v>1</v>
      </c>
      <c r="T75" s="8">
        <v>73</v>
      </c>
      <c r="U75" s="8">
        <v>0</v>
      </c>
      <c r="V75" s="8">
        <v>0.25</v>
      </c>
      <c r="W75" s="8">
        <v>0.3</v>
      </c>
    </row>
    <row r="76" spans="1:23" x14ac:dyDescent="0.15">
      <c r="A76" s="8">
        <v>1</v>
      </c>
      <c r="B76" s="8">
        <v>-31.739000000000001</v>
      </c>
      <c r="C76" s="9">
        <v>-1.0905E-14</v>
      </c>
      <c r="D76" s="9">
        <v>-2.1809000000000001E-14</v>
      </c>
      <c r="E76" s="8">
        <v>0</v>
      </c>
      <c r="F76" s="8">
        <v>1</v>
      </c>
      <c r="G76" s="9">
        <v>-9.4772999999999999E-10</v>
      </c>
      <c r="H76" s="8">
        <v>0</v>
      </c>
      <c r="I76" s="8">
        <v>0</v>
      </c>
      <c r="J76" s="9">
        <v>2.0275999999999999E-9</v>
      </c>
      <c r="K76" s="8">
        <v>0</v>
      </c>
      <c r="L76" s="8">
        <v>0</v>
      </c>
      <c r="M76" s="8">
        <v>-31.739000000000001</v>
      </c>
      <c r="N76" s="9">
        <v>-1.1012E-14</v>
      </c>
      <c r="O76" s="8">
        <v>-31.431000000000001</v>
      </c>
      <c r="P76" s="9">
        <v>-2.2024E-14</v>
      </c>
      <c r="Q76" s="9">
        <v>-1.1012E-14</v>
      </c>
      <c r="R76" s="9">
        <v>-2.2024E-14</v>
      </c>
      <c r="S76" s="8">
        <v>1</v>
      </c>
      <c r="T76" s="8">
        <v>74</v>
      </c>
      <c r="U76" s="8">
        <v>0</v>
      </c>
      <c r="V76" s="8">
        <v>0.25</v>
      </c>
      <c r="W76" s="8">
        <v>0.3</v>
      </c>
    </row>
    <row r="77" spans="1:23" x14ac:dyDescent="0.15">
      <c r="A77" s="8">
        <v>1</v>
      </c>
      <c r="B77" s="8">
        <v>-31.85</v>
      </c>
      <c r="C77" s="9">
        <v>-1.0956000000000001E-14</v>
      </c>
      <c r="D77" s="9">
        <v>-2.1912000000000001E-14</v>
      </c>
      <c r="E77" s="8">
        <v>0</v>
      </c>
      <c r="F77" s="8">
        <v>1</v>
      </c>
      <c r="G77" s="9">
        <v>-7.3052999999999996E-10</v>
      </c>
      <c r="H77" s="8">
        <v>0</v>
      </c>
      <c r="I77" s="8">
        <v>0</v>
      </c>
      <c r="J77" s="9">
        <v>2.0375E-9</v>
      </c>
      <c r="K77" s="8">
        <v>0</v>
      </c>
      <c r="L77" s="8">
        <v>0</v>
      </c>
      <c r="M77" s="8">
        <v>-31.85</v>
      </c>
      <c r="N77" s="9">
        <v>-1.1049999999999999E-14</v>
      </c>
      <c r="O77" s="8">
        <v>-31.579000000000001</v>
      </c>
      <c r="P77" s="9">
        <v>-2.2101000000000002E-14</v>
      </c>
      <c r="Q77" s="9">
        <v>-1.1049999999999999E-14</v>
      </c>
      <c r="R77" s="9">
        <v>-2.2101000000000002E-14</v>
      </c>
      <c r="S77" s="8">
        <v>1</v>
      </c>
      <c r="T77" s="8">
        <v>75</v>
      </c>
      <c r="U77" s="8">
        <v>0</v>
      </c>
      <c r="V77" s="8">
        <v>0.25</v>
      </c>
      <c r="W77" s="8">
        <v>0.3</v>
      </c>
    </row>
    <row r="78" spans="1:23" x14ac:dyDescent="0.15">
      <c r="A78" s="8">
        <v>1</v>
      </c>
      <c r="B78" s="8">
        <v>-31.959</v>
      </c>
      <c r="C78" s="9">
        <v>-1.1007000000000001E-14</v>
      </c>
      <c r="D78" s="9">
        <v>-2.2014000000000002E-14</v>
      </c>
      <c r="E78" s="8">
        <v>0</v>
      </c>
      <c r="F78" s="8">
        <v>1</v>
      </c>
      <c r="G78" s="9">
        <v>-5.1147999999999997E-10</v>
      </c>
      <c r="H78" s="8">
        <v>0</v>
      </c>
      <c r="I78" s="8">
        <v>0</v>
      </c>
      <c r="J78" s="9">
        <v>2.0453E-9</v>
      </c>
      <c r="K78" s="8">
        <v>0</v>
      </c>
      <c r="L78" s="8">
        <v>0</v>
      </c>
      <c r="M78" s="8">
        <v>-31.959</v>
      </c>
      <c r="N78" s="9">
        <v>-1.1088E-14</v>
      </c>
      <c r="O78" s="8">
        <v>-31.725999999999999</v>
      </c>
      <c r="P78" s="9">
        <v>-2.2176000000000001E-14</v>
      </c>
      <c r="Q78" s="9">
        <v>-1.1088E-14</v>
      </c>
      <c r="R78" s="9">
        <v>-2.2176000000000001E-14</v>
      </c>
      <c r="S78" s="8">
        <v>1</v>
      </c>
      <c r="T78" s="8">
        <v>76</v>
      </c>
      <c r="U78" s="8">
        <v>0</v>
      </c>
      <c r="V78" s="8">
        <v>0.25</v>
      </c>
      <c r="W78" s="8">
        <v>0.3</v>
      </c>
    </row>
    <row r="79" spans="1:23" x14ac:dyDescent="0.15">
      <c r="A79" s="8">
        <v>1</v>
      </c>
      <c r="B79" s="8">
        <v>-32.066000000000003</v>
      </c>
      <c r="C79" s="9">
        <v>-1.1057999999999999E-14</v>
      </c>
      <c r="D79" s="9">
        <v>-2.2115999999999999E-14</v>
      </c>
      <c r="E79" s="8">
        <v>0</v>
      </c>
      <c r="F79" s="8">
        <v>1</v>
      </c>
      <c r="G79" s="9">
        <v>-2.8990999999999998E-10</v>
      </c>
      <c r="H79" s="8">
        <v>0</v>
      </c>
      <c r="I79" s="8">
        <v>0</v>
      </c>
      <c r="J79" s="9">
        <v>2.0509E-9</v>
      </c>
      <c r="K79" s="8">
        <v>0</v>
      </c>
      <c r="L79" s="8">
        <v>0</v>
      </c>
      <c r="M79" s="8">
        <v>-32.066000000000003</v>
      </c>
      <c r="N79" s="9">
        <v>-1.1125E-14</v>
      </c>
      <c r="O79" s="8">
        <v>-31.872</v>
      </c>
      <c r="P79" s="9">
        <v>-2.225E-14</v>
      </c>
      <c r="Q79" s="9">
        <v>-1.1125E-14</v>
      </c>
      <c r="R79" s="9">
        <v>-2.225E-14</v>
      </c>
      <c r="S79" s="8">
        <v>1</v>
      </c>
      <c r="T79" s="8">
        <v>77</v>
      </c>
      <c r="U79" s="8">
        <v>0</v>
      </c>
      <c r="V79" s="8">
        <v>0.25</v>
      </c>
      <c r="W79" s="8">
        <v>0.3</v>
      </c>
    </row>
    <row r="80" spans="1:23" x14ac:dyDescent="0.15">
      <c r="A80" s="8">
        <v>1</v>
      </c>
      <c r="B80" s="8">
        <v>-32.17</v>
      </c>
      <c r="C80" s="9">
        <v>-1.1108E-14</v>
      </c>
      <c r="D80" s="9">
        <v>-2.2216E-14</v>
      </c>
      <c r="E80" s="8">
        <v>0</v>
      </c>
      <c r="F80" s="8">
        <v>1</v>
      </c>
      <c r="G80" s="9">
        <v>-6.5115E-11</v>
      </c>
      <c r="H80" s="8">
        <v>0</v>
      </c>
      <c r="I80" s="8">
        <v>0</v>
      </c>
      <c r="J80" s="9">
        <v>2.0538000000000001E-9</v>
      </c>
      <c r="K80" s="8">
        <v>0</v>
      </c>
      <c r="L80" s="8">
        <v>0</v>
      </c>
      <c r="M80" s="8">
        <v>-32.17</v>
      </c>
      <c r="N80" s="9">
        <v>-1.1161E-14</v>
      </c>
      <c r="O80" s="8">
        <v>-32.017000000000003</v>
      </c>
      <c r="P80" s="9">
        <v>-2.2322999999999999E-14</v>
      </c>
      <c r="Q80" s="9">
        <v>-1.1161E-14</v>
      </c>
      <c r="R80" s="9">
        <v>-2.2322999999999999E-14</v>
      </c>
      <c r="S80" s="8">
        <v>1</v>
      </c>
      <c r="T80" s="8">
        <v>78</v>
      </c>
      <c r="U80" s="8">
        <v>0</v>
      </c>
      <c r="V80" s="8">
        <v>0.25</v>
      </c>
      <c r="W80" s="8">
        <v>0.3</v>
      </c>
    </row>
    <row r="81" spans="1:23" x14ac:dyDescent="0.15">
      <c r="A81" s="8">
        <v>1</v>
      </c>
      <c r="B81" s="8">
        <v>-32.271999999999998</v>
      </c>
      <c r="C81" s="9">
        <v>-1.1158E-14</v>
      </c>
      <c r="D81" s="9">
        <v>-2.2316000000000001E-14</v>
      </c>
      <c r="E81" s="8">
        <v>0</v>
      </c>
      <c r="F81" s="8">
        <v>1</v>
      </c>
      <c r="G81" s="9">
        <v>1.6365E-10</v>
      </c>
      <c r="H81" s="8">
        <v>0</v>
      </c>
      <c r="I81" s="8">
        <v>0</v>
      </c>
      <c r="J81" s="9">
        <v>2.0540000000000001E-9</v>
      </c>
      <c r="K81" s="8">
        <v>0</v>
      </c>
      <c r="L81" s="8">
        <v>0</v>
      </c>
      <c r="M81" s="8">
        <v>-32.271999999999998</v>
      </c>
      <c r="N81" s="9">
        <v>-1.1197E-14</v>
      </c>
      <c r="O81" s="8">
        <v>-32.159999999999997</v>
      </c>
      <c r="P81" s="9">
        <v>-2.2392999999999999E-14</v>
      </c>
      <c r="Q81" s="9">
        <v>-1.1197E-14</v>
      </c>
      <c r="R81" s="9">
        <v>-2.2392999999999999E-14</v>
      </c>
      <c r="S81" s="8">
        <v>1</v>
      </c>
      <c r="T81" s="8">
        <v>79</v>
      </c>
      <c r="U81" s="8">
        <v>0</v>
      </c>
      <c r="V81" s="8">
        <v>0.25</v>
      </c>
      <c r="W81" s="8">
        <v>0.3</v>
      </c>
    </row>
    <row r="82" spans="1:23" x14ac:dyDescent="0.15">
      <c r="A82" s="8">
        <v>1</v>
      </c>
      <c r="B82" s="8">
        <v>-32.371000000000002</v>
      </c>
      <c r="C82" s="9">
        <v>-1.6758E-14</v>
      </c>
      <c r="D82" s="9">
        <v>3.7253000000000003E-8</v>
      </c>
      <c r="E82" s="8">
        <v>0</v>
      </c>
      <c r="F82" s="8">
        <v>1</v>
      </c>
      <c r="G82" s="9">
        <v>3.9719999999999998E-10</v>
      </c>
      <c r="H82" s="8">
        <v>0</v>
      </c>
      <c r="I82" s="8">
        <v>0</v>
      </c>
      <c r="J82" s="9">
        <v>2.0509E-9</v>
      </c>
      <c r="K82" s="8">
        <v>0</v>
      </c>
      <c r="L82" s="8">
        <v>0</v>
      </c>
      <c r="M82" s="8">
        <v>-32.371000000000002</v>
      </c>
      <c r="N82" s="9">
        <v>-1.1231E-14</v>
      </c>
      <c r="O82" s="8">
        <v>-32.302999999999997</v>
      </c>
      <c r="P82" s="9">
        <v>-2.2461999999999999E-14</v>
      </c>
      <c r="Q82" s="9">
        <v>-1.1231E-14</v>
      </c>
      <c r="R82" s="9">
        <v>-2.2461999999999999E-14</v>
      </c>
      <c r="S82" s="8">
        <v>1</v>
      </c>
      <c r="T82" s="8">
        <v>80</v>
      </c>
      <c r="U82" s="8">
        <v>0</v>
      </c>
      <c r="V82" s="8">
        <v>0.25</v>
      </c>
      <c r="W82" s="8">
        <v>0.3</v>
      </c>
    </row>
    <row r="83" spans="1:23" x14ac:dyDescent="0.15">
      <c r="A83" s="8">
        <v>1</v>
      </c>
      <c r="B83" s="8">
        <v>-32.468000000000004</v>
      </c>
      <c r="C83" s="9">
        <v>-1.1256E-14</v>
      </c>
      <c r="D83" s="9">
        <v>-2.2512E-14</v>
      </c>
      <c r="E83" s="8">
        <v>0</v>
      </c>
      <c r="F83" s="8">
        <v>1</v>
      </c>
      <c r="G83" s="9">
        <v>6.3639999999999999E-10</v>
      </c>
      <c r="H83" s="8">
        <v>0</v>
      </c>
      <c r="I83" s="8">
        <v>0</v>
      </c>
      <c r="J83" s="9">
        <v>2.0441E-9</v>
      </c>
      <c r="K83" s="8">
        <v>0</v>
      </c>
      <c r="L83" s="8">
        <v>0</v>
      </c>
      <c r="M83" s="8">
        <v>-32.468000000000004</v>
      </c>
      <c r="N83" s="9">
        <v>-1.1265E-14</v>
      </c>
      <c r="O83" s="8">
        <v>-32.444000000000003</v>
      </c>
      <c r="P83" s="9">
        <v>-2.2529E-14</v>
      </c>
      <c r="Q83" s="9">
        <v>-1.1265E-14</v>
      </c>
      <c r="R83" s="9">
        <v>-2.2529E-14</v>
      </c>
      <c r="S83" s="8">
        <v>1</v>
      </c>
      <c r="T83" s="8">
        <v>81</v>
      </c>
      <c r="U83" s="8">
        <v>0</v>
      </c>
      <c r="V83" s="8">
        <v>0.25</v>
      </c>
      <c r="W83" s="8">
        <v>0.3</v>
      </c>
    </row>
    <row r="84" spans="1:23" x14ac:dyDescent="0.15">
      <c r="A84" s="8">
        <v>1</v>
      </c>
      <c r="B84" s="8">
        <v>-32.561</v>
      </c>
      <c r="C84" s="9">
        <v>-1.1305E-14</v>
      </c>
      <c r="D84" s="9">
        <v>-2.2610000000000001E-14</v>
      </c>
      <c r="E84" s="8">
        <v>0</v>
      </c>
      <c r="F84" s="8">
        <v>1</v>
      </c>
      <c r="G84" s="9">
        <v>8.8218000000000005E-10</v>
      </c>
      <c r="H84" s="8">
        <v>0</v>
      </c>
      <c r="I84" s="8">
        <v>0</v>
      </c>
      <c r="J84" s="9">
        <v>2.0332E-9</v>
      </c>
      <c r="K84" s="8">
        <v>0</v>
      </c>
      <c r="L84" s="8">
        <v>0</v>
      </c>
      <c r="M84" s="8">
        <v>-32.561</v>
      </c>
      <c r="N84" s="9">
        <v>-1.1297E-14</v>
      </c>
      <c r="O84" s="8">
        <v>-32.584000000000003</v>
      </c>
      <c r="P84" s="9">
        <v>-2.2594000000000001E-14</v>
      </c>
      <c r="Q84" s="9">
        <v>-1.1297E-14</v>
      </c>
      <c r="R84" s="9">
        <v>-2.2594000000000001E-14</v>
      </c>
      <c r="S84" s="8">
        <v>1</v>
      </c>
      <c r="T84" s="8">
        <v>82</v>
      </c>
      <c r="U84" s="8">
        <v>0</v>
      </c>
      <c r="V84" s="8">
        <v>0.25</v>
      </c>
      <c r="W84" s="8">
        <v>0.3</v>
      </c>
    </row>
    <row r="85" spans="1:23" x14ac:dyDescent="0.15">
      <c r="A85" s="8">
        <v>1</v>
      </c>
      <c r="B85" s="8">
        <v>-32.651000000000003</v>
      </c>
      <c r="C85" s="9">
        <v>3.7253000000000003E-8</v>
      </c>
      <c r="D85" s="9">
        <v>-3.7253000000000003E-8</v>
      </c>
      <c r="E85" s="8">
        <v>0</v>
      </c>
      <c r="F85" s="8">
        <v>1</v>
      </c>
      <c r="G85" s="9">
        <v>1.1355000000000001E-9</v>
      </c>
      <c r="H85" s="8">
        <v>0</v>
      </c>
      <c r="I85" s="8">
        <v>0</v>
      </c>
      <c r="J85" s="9">
        <v>2.0175000000000001E-9</v>
      </c>
      <c r="K85" s="8">
        <v>0</v>
      </c>
      <c r="L85" s="8">
        <v>0</v>
      </c>
      <c r="M85" s="8">
        <v>-32.651000000000003</v>
      </c>
      <c r="N85" s="9">
        <v>-1.1327999999999999E-14</v>
      </c>
      <c r="O85" s="8">
        <v>-32.722999999999999</v>
      </c>
      <c r="P85" s="9">
        <v>-2.2655999999999999E-14</v>
      </c>
      <c r="Q85" s="9">
        <v>-1.1327999999999999E-14</v>
      </c>
      <c r="R85" s="9">
        <v>-2.2655999999999999E-14</v>
      </c>
      <c r="S85" s="8">
        <v>1</v>
      </c>
      <c r="T85" s="8">
        <v>83</v>
      </c>
      <c r="U85" s="8">
        <v>0</v>
      </c>
      <c r="V85" s="8">
        <v>0.25</v>
      </c>
      <c r="W85" s="8">
        <v>0.3</v>
      </c>
    </row>
    <row r="86" spans="1:23" x14ac:dyDescent="0.15">
      <c r="A86" s="8">
        <v>1</v>
      </c>
      <c r="B86" s="8">
        <v>-32.737000000000002</v>
      </c>
      <c r="C86" s="9">
        <v>-1.1401E-14</v>
      </c>
      <c r="D86" s="9">
        <v>-2.2802000000000001E-14</v>
      </c>
      <c r="E86" s="8">
        <v>0</v>
      </c>
      <c r="F86" s="8">
        <v>1</v>
      </c>
      <c r="G86" s="9">
        <v>1.3976E-9</v>
      </c>
      <c r="H86" s="8">
        <v>0</v>
      </c>
      <c r="I86" s="8">
        <v>0</v>
      </c>
      <c r="J86" s="9">
        <v>1.9961000000000002E-9</v>
      </c>
      <c r="K86" s="8">
        <v>0</v>
      </c>
      <c r="L86" s="8">
        <v>0</v>
      </c>
      <c r="M86" s="8">
        <v>-32.737000000000002</v>
      </c>
      <c r="N86" s="9">
        <v>-1.1358E-14</v>
      </c>
      <c r="O86" s="8">
        <v>-32.860999999999997</v>
      </c>
      <c r="P86" s="9">
        <v>-2.2716000000000001E-14</v>
      </c>
      <c r="Q86" s="9">
        <v>-1.1358E-14</v>
      </c>
      <c r="R86" s="9">
        <v>-2.2716000000000001E-14</v>
      </c>
      <c r="S86" s="8">
        <v>1</v>
      </c>
      <c r="T86" s="8">
        <v>84</v>
      </c>
      <c r="U86" s="8">
        <v>0</v>
      </c>
      <c r="V86" s="8">
        <v>0.25</v>
      </c>
      <c r="W86" s="8">
        <v>0.3</v>
      </c>
    </row>
    <row r="87" spans="1:23" x14ac:dyDescent="0.15">
      <c r="A87" s="8">
        <v>1</v>
      </c>
      <c r="B87" s="8">
        <v>-32.819000000000003</v>
      </c>
      <c r="C87" s="9">
        <v>-1.1448E-14</v>
      </c>
      <c r="D87" s="9">
        <v>-2.2897E-14</v>
      </c>
      <c r="E87" s="8">
        <v>0</v>
      </c>
      <c r="F87" s="8">
        <v>1</v>
      </c>
      <c r="G87" s="9">
        <v>1.6695999999999999E-9</v>
      </c>
      <c r="H87" s="8">
        <v>0</v>
      </c>
      <c r="I87" s="8">
        <v>0</v>
      </c>
      <c r="J87" s="9">
        <v>1.9681999999999999E-9</v>
      </c>
      <c r="K87" s="8">
        <v>0</v>
      </c>
      <c r="L87" s="8">
        <v>0</v>
      </c>
      <c r="M87" s="8">
        <v>-32.819000000000003</v>
      </c>
      <c r="N87" s="9">
        <v>-3.3591000000000002E-14</v>
      </c>
      <c r="O87" s="8">
        <v>-32.997999999999998</v>
      </c>
      <c r="P87" s="9">
        <v>1.4901000000000001E-7</v>
      </c>
      <c r="Q87" s="9">
        <v>-3.3591000000000002E-14</v>
      </c>
      <c r="R87" s="9">
        <v>1.4901000000000001E-7</v>
      </c>
      <c r="S87" s="8">
        <v>1</v>
      </c>
      <c r="T87" s="8">
        <v>85</v>
      </c>
      <c r="U87" s="8">
        <v>0</v>
      </c>
      <c r="V87" s="8">
        <v>0.25</v>
      </c>
      <c r="W87" s="8">
        <v>0.3</v>
      </c>
    </row>
    <row r="88" spans="1:23" x14ac:dyDescent="0.15">
      <c r="A88" s="8">
        <v>1</v>
      </c>
      <c r="B88" s="8">
        <v>-32.896999999999998</v>
      </c>
      <c r="C88" s="9">
        <v>-1.1496000000000001E-14</v>
      </c>
      <c r="D88" s="9">
        <v>-2.2991000000000001E-14</v>
      </c>
      <c r="E88" s="8">
        <v>0</v>
      </c>
      <c r="F88" s="8">
        <v>1</v>
      </c>
      <c r="G88" s="9">
        <v>1.9528000000000001E-9</v>
      </c>
      <c r="H88" s="8">
        <v>0</v>
      </c>
      <c r="I88" s="8">
        <v>0</v>
      </c>
      <c r="J88" s="9">
        <v>1.9326000000000001E-9</v>
      </c>
      <c r="K88" s="8">
        <v>0</v>
      </c>
      <c r="L88" s="8">
        <v>0</v>
      </c>
      <c r="M88" s="8">
        <v>-32.896999999999998</v>
      </c>
      <c r="N88" s="9">
        <v>-1.1414E-14</v>
      </c>
      <c r="O88" s="8">
        <v>-33.134</v>
      </c>
      <c r="P88" s="9">
        <v>-2.2827E-14</v>
      </c>
      <c r="Q88" s="9">
        <v>-1.1414E-14</v>
      </c>
      <c r="R88" s="9">
        <v>-2.2827E-14</v>
      </c>
      <c r="S88" s="8">
        <v>1</v>
      </c>
      <c r="T88" s="8">
        <v>86</v>
      </c>
      <c r="U88" s="8">
        <v>0</v>
      </c>
      <c r="V88" s="8">
        <v>0.25</v>
      </c>
      <c r="W88" s="8">
        <v>0.3</v>
      </c>
    </row>
    <row r="89" spans="1:23" x14ac:dyDescent="0.15">
      <c r="A89" s="8">
        <v>1</v>
      </c>
      <c r="B89" s="8">
        <v>-32.97</v>
      </c>
      <c r="C89" s="9">
        <v>-1.1542E-14</v>
      </c>
      <c r="D89" s="9">
        <v>-2.3085E-14</v>
      </c>
      <c r="E89" s="8">
        <v>0</v>
      </c>
      <c r="F89" s="8">
        <v>1</v>
      </c>
      <c r="G89" s="9">
        <v>2.2486999999999999E-9</v>
      </c>
      <c r="H89" s="8">
        <v>0</v>
      </c>
      <c r="I89" s="8">
        <v>0</v>
      </c>
      <c r="J89" s="9">
        <v>1.8878E-9</v>
      </c>
      <c r="K89" s="8">
        <v>0</v>
      </c>
      <c r="L89" s="8">
        <v>0</v>
      </c>
      <c r="M89" s="8">
        <v>-32.97</v>
      </c>
      <c r="N89" s="9">
        <v>-1.1439E-14</v>
      </c>
      <c r="O89" s="8">
        <v>-33.268999999999998</v>
      </c>
      <c r="P89" s="9">
        <v>-2.2878E-14</v>
      </c>
      <c r="Q89" s="9">
        <v>-1.1439E-14</v>
      </c>
      <c r="R89" s="9">
        <v>-2.2878E-14</v>
      </c>
      <c r="S89" s="8">
        <v>1</v>
      </c>
      <c r="T89" s="8">
        <v>87</v>
      </c>
      <c r="U89" s="8">
        <v>0</v>
      </c>
      <c r="V89" s="8">
        <v>0.25</v>
      </c>
      <c r="W89" s="8">
        <v>0.3</v>
      </c>
    </row>
    <row r="90" spans="1:23" x14ac:dyDescent="0.15">
      <c r="A90" s="8">
        <v>1</v>
      </c>
      <c r="B90" s="8">
        <v>-33.037999999999997</v>
      </c>
      <c r="C90" s="9">
        <v>-1.1589E-14</v>
      </c>
      <c r="D90" s="9">
        <v>-2.3177999999999999E-14</v>
      </c>
      <c r="E90" s="8">
        <v>0</v>
      </c>
      <c r="F90" s="8">
        <v>1</v>
      </c>
      <c r="G90" s="9">
        <v>2.5588999999999999E-9</v>
      </c>
      <c r="H90" s="8">
        <v>0</v>
      </c>
      <c r="I90" s="8">
        <v>0</v>
      </c>
      <c r="J90" s="9">
        <v>1.8321999999999999E-9</v>
      </c>
      <c r="K90" s="8">
        <v>0</v>
      </c>
      <c r="L90" s="8">
        <v>0</v>
      </c>
      <c r="M90" s="8">
        <v>-33.037999999999997</v>
      </c>
      <c r="N90" s="9">
        <v>-1.1462E-14</v>
      </c>
      <c r="O90" s="8">
        <v>-33.404000000000003</v>
      </c>
      <c r="P90" s="9">
        <v>-2.2925000000000001E-14</v>
      </c>
      <c r="Q90" s="9">
        <v>-1.1462E-14</v>
      </c>
      <c r="R90" s="9">
        <v>-2.2925000000000001E-14</v>
      </c>
      <c r="S90" s="8">
        <v>1</v>
      </c>
      <c r="T90" s="8">
        <v>88</v>
      </c>
      <c r="U90" s="8">
        <v>0</v>
      </c>
      <c r="V90" s="8">
        <v>0.25</v>
      </c>
      <c r="W90" s="8">
        <v>0.3</v>
      </c>
    </row>
    <row r="91" spans="1:23" x14ac:dyDescent="0.15">
      <c r="A91" s="8">
        <v>1</v>
      </c>
      <c r="B91" s="8">
        <v>-33.098999999999997</v>
      </c>
      <c r="C91" s="9">
        <v>-1.1636000000000001E-14</v>
      </c>
      <c r="D91" s="9">
        <v>-2.3272000000000001E-14</v>
      </c>
      <c r="E91" s="8">
        <v>0</v>
      </c>
      <c r="F91" s="8">
        <v>1</v>
      </c>
      <c r="G91" s="9">
        <v>2.8850999999999999E-9</v>
      </c>
      <c r="H91" s="8">
        <v>0</v>
      </c>
      <c r="I91" s="8">
        <v>0</v>
      </c>
      <c r="J91" s="9">
        <v>1.7636E-9</v>
      </c>
      <c r="K91" s="8">
        <v>0</v>
      </c>
      <c r="L91" s="8">
        <v>0</v>
      </c>
      <c r="M91" s="8">
        <v>-33.098999999999997</v>
      </c>
      <c r="N91" s="9">
        <v>-1.1484E-14</v>
      </c>
      <c r="O91" s="8">
        <v>-33.537999999999997</v>
      </c>
      <c r="P91" s="9">
        <v>-2.2966999999999999E-14</v>
      </c>
      <c r="Q91" s="9">
        <v>-1.1484E-14</v>
      </c>
      <c r="R91" s="9">
        <v>-2.2966999999999999E-14</v>
      </c>
      <c r="S91" s="8">
        <v>1</v>
      </c>
      <c r="T91" s="8">
        <v>89</v>
      </c>
      <c r="U91" s="8">
        <v>0</v>
      </c>
      <c r="V91" s="8">
        <v>0.25</v>
      </c>
      <c r="W91" s="8">
        <v>0.3</v>
      </c>
    </row>
    <row r="92" spans="1:23" x14ac:dyDescent="0.15">
      <c r="A92" s="8">
        <v>1</v>
      </c>
      <c r="B92" s="8">
        <v>-33.154000000000003</v>
      </c>
      <c r="C92" s="9">
        <v>-1.1682E-14</v>
      </c>
      <c r="D92" s="9">
        <v>-2.3365E-14</v>
      </c>
      <c r="E92" s="8">
        <v>0</v>
      </c>
      <c r="F92" s="8">
        <v>1</v>
      </c>
      <c r="G92" s="9">
        <v>3.2289999999999999E-9</v>
      </c>
      <c r="H92" s="8">
        <v>0</v>
      </c>
      <c r="I92" s="8">
        <v>0</v>
      </c>
      <c r="J92" s="9">
        <v>1.6793E-9</v>
      </c>
      <c r="K92" s="8">
        <v>0</v>
      </c>
      <c r="L92" s="8">
        <v>0</v>
      </c>
      <c r="M92" s="8">
        <v>-33.154000000000003</v>
      </c>
      <c r="N92" s="9">
        <v>-1.1502999999999999E-14</v>
      </c>
      <c r="O92" s="8">
        <v>-33.671999999999997</v>
      </c>
      <c r="P92" s="9">
        <v>-2.3005999999999999E-14</v>
      </c>
      <c r="Q92" s="9">
        <v>-1.1502999999999999E-14</v>
      </c>
      <c r="R92" s="9">
        <v>-2.3005999999999999E-14</v>
      </c>
      <c r="S92" s="8">
        <v>1</v>
      </c>
      <c r="T92" s="8">
        <v>90</v>
      </c>
      <c r="U92" s="8">
        <v>0</v>
      </c>
      <c r="V92" s="8">
        <v>0.25</v>
      </c>
      <c r="W92" s="8">
        <v>0.3</v>
      </c>
    </row>
    <row r="93" spans="1:23" x14ac:dyDescent="0.15">
      <c r="A93" s="8">
        <v>1</v>
      </c>
      <c r="B93" s="8">
        <v>-33.201999999999998</v>
      </c>
      <c r="C93" s="9">
        <v>-1.1728999999999999E-14</v>
      </c>
      <c r="D93" s="9">
        <v>-2.3457999999999999E-14</v>
      </c>
      <c r="E93" s="8">
        <v>0</v>
      </c>
      <c r="F93" s="8">
        <v>1</v>
      </c>
      <c r="G93" s="9">
        <v>3.5928999999999999E-9</v>
      </c>
      <c r="H93" s="8">
        <v>0</v>
      </c>
      <c r="I93" s="8">
        <v>0</v>
      </c>
      <c r="J93" s="9">
        <v>1.5762E-9</v>
      </c>
      <c r="K93" s="8">
        <v>0</v>
      </c>
      <c r="L93" s="8">
        <v>0</v>
      </c>
      <c r="M93" s="8">
        <v>-33.201999999999998</v>
      </c>
      <c r="N93" s="9">
        <v>-1.1519E-14</v>
      </c>
      <c r="O93" s="8">
        <v>-33.807000000000002</v>
      </c>
      <c r="P93" s="9">
        <v>-2.3038999999999999E-14</v>
      </c>
      <c r="Q93" s="9">
        <v>-1.1519E-14</v>
      </c>
      <c r="R93" s="9">
        <v>-2.3038999999999999E-14</v>
      </c>
      <c r="S93" s="8">
        <v>1</v>
      </c>
      <c r="T93" s="8">
        <v>91</v>
      </c>
      <c r="U93" s="8">
        <v>0</v>
      </c>
      <c r="V93" s="8">
        <v>0.25</v>
      </c>
      <c r="W93" s="8">
        <v>0.3</v>
      </c>
    </row>
    <row r="94" spans="1:23" x14ac:dyDescent="0.15">
      <c r="A94" s="8">
        <v>1</v>
      </c>
      <c r="B94" s="8">
        <v>-33.241</v>
      </c>
      <c r="C94" s="9">
        <v>-1.1776E-14</v>
      </c>
      <c r="D94" s="9">
        <v>-2.3552000000000001E-14</v>
      </c>
      <c r="E94" s="8">
        <v>0</v>
      </c>
      <c r="F94" s="8">
        <v>1</v>
      </c>
      <c r="G94" s="9">
        <v>3.9786000000000003E-9</v>
      </c>
      <c r="H94" s="8">
        <v>0</v>
      </c>
      <c r="I94" s="8">
        <v>0</v>
      </c>
      <c r="J94" s="9">
        <v>1.4502E-9</v>
      </c>
      <c r="K94" s="8">
        <v>0</v>
      </c>
      <c r="L94" s="8">
        <v>0</v>
      </c>
      <c r="M94" s="8">
        <v>-33.241</v>
      </c>
      <c r="N94" s="9">
        <v>-1.1533E-14</v>
      </c>
      <c r="O94" s="8">
        <v>-33.942</v>
      </c>
      <c r="P94" s="9">
        <v>-2.3066E-14</v>
      </c>
      <c r="Q94" s="9">
        <v>-1.1533E-14</v>
      </c>
      <c r="R94" s="9">
        <v>-2.3066E-14</v>
      </c>
      <c r="S94" s="8">
        <v>1</v>
      </c>
      <c r="T94" s="8">
        <v>92</v>
      </c>
      <c r="U94" s="8">
        <v>0</v>
      </c>
      <c r="V94" s="8">
        <v>0.25</v>
      </c>
      <c r="W94" s="8">
        <v>0.3</v>
      </c>
    </row>
    <row r="95" spans="1:23" x14ac:dyDescent="0.15">
      <c r="A95" s="8">
        <v>1</v>
      </c>
      <c r="B95" s="8">
        <v>-33.271000000000001</v>
      </c>
      <c r="C95" s="9">
        <v>-1.1824E-14</v>
      </c>
      <c r="D95" s="9">
        <v>-2.3646999999999999E-14</v>
      </c>
      <c r="E95" s="8">
        <v>0</v>
      </c>
      <c r="F95" s="8">
        <v>1</v>
      </c>
      <c r="G95" s="9">
        <v>4.3884000000000003E-9</v>
      </c>
      <c r="H95" s="8">
        <v>0</v>
      </c>
      <c r="I95" s="8">
        <v>0</v>
      </c>
      <c r="J95" s="9">
        <v>1.2963E-9</v>
      </c>
      <c r="K95" s="8">
        <v>0</v>
      </c>
      <c r="L95" s="8">
        <v>0</v>
      </c>
      <c r="M95" s="8">
        <v>-33.271000000000001</v>
      </c>
      <c r="N95" s="9">
        <v>-1.1543E-14</v>
      </c>
      <c r="O95" s="8">
        <v>-34.079000000000001</v>
      </c>
      <c r="P95" s="9">
        <v>-2.3086E-14</v>
      </c>
      <c r="Q95" s="9">
        <v>-1.1543E-14</v>
      </c>
      <c r="R95" s="9">
        <v>-2.3086E-14</v>
      </c>
      <c r="S95" s="8">
        <v>1</v>
      </c>
      <c r="T95" s="8">
        <v>93</v>
      </c>
      <c r="U95" s="8">
        <v>0</v>
      </c>
      <c r="V95" s="8">
        <v>0.25</v>
      </c>
      <c r="W95" s="8">
        <v>0.3</v>
      </c>
    </row>
    <row r="96" spans="1:23" x14ac:dyDescent="0.15">
      <c r="A96" s="8">
        <v>1</v>
      </c>
      <c r="B96" s="8">
        <v>-33.29</v>
      </c>
      <c r="C96" s="9">
        <v>-1.1872E-14</v>
      </c>
      <c r="D96" s="9">
        <v>-2.3744000000000001E-14</v>
      </c>
      <c r="E96" s="8">
        <v>0</v>
      </c>
      <c r="F96" s="8">
        <v>1</v>
      </c>
      <c r="G96" s="9">
        <v>4.8241999999999999E-9</v>
      </c>
      <c r="H96" s="8">
        <v>0</v>
      </c>
      <c r="I96" s="8">
        <v>0</v>
      </c>
      <c r="J96" s="9">
        <v>1.1080000000000001E-9</v>
      </c>
      <c r="K96" s="8">
        <v>0</v>
      </c>
      <c r="L96" s="8">
        <v>0</v>
      </c>
      <c r="M96" s="8">
        <v>-33.29</v>
      </c>
      <c r="N96" s="9">
        <v>-1.155E-14</v>
      </c>
      <c r="O96" s="8">
        <v>-34.219000000000001</v>
      </c>
      <c r="P96" s="9">
        <v>-2.3100000000000001E-14</v>
      </c>
      <c r="Q96" s="9">
        <v>-1.155E-14</v>
      </c>
      <c r="R96" s="9">
        <v>-2.3100000000000001E-14</v>
      </c>
      <c r="S96" s="8">
        <v>1</v>
      </c>
      <c r="T96" s="8">
        <v>94</v>
      </c>
      <c r="U96" s="8">
        <v>0</v>
      </c>
      <c r="V96" s="8">
        <v>0.25</v>
      </c>
      <c r="W96" s="8">
        <v>0.3</v>
      </c>
    </row>
    <row r="97" spans="1:23" x14ac:dyDescent="0.15">
      <c r="A97" s="8">
        <v>1</v>
      </c>
      <c r="B97" s="8">
        <v>-33.296999999999997</v>
      </c>
      <c r="C97" s="9">
        <v>-1.1921999999999999E-14</v>
      </c>
      <c r="D97" s="9">
        <v>-2.3843999999999999E-14</v>
      </c>
      <c r="E97" s="8">
        <v>0</v>
      </c>
      <c r="F97" s="8">
        <v>1</v>
      </c>
      <c r="G97" s="9">
        <v>5.2877000000000003E-9</v>
      </c>
      <c r="H97" s="8">
        <v>0</v>
      </c>
      <c r="I97" s="8">
        <v>0</v>
      </c>
      <c r="J97" s="9">
        <v>8.7753999999999995E-10</v>
      </c>
      <c r="K97" s="8">
        <v>0</v>
      </c>
      <c r="L97" s="8">
        <v>0</v>
      </c>
      <c r="M97" s="8">
        <v>-33.296999999999997</v>
      </c>
      <c r="N97" s="9">
        <v>-1.1552E-14</v>
      </c>
      <c r="O97" s="8">
        <v>-34.363</v>
      </c>
      <c r="P97" s="9">
        <v>-2.3105E-14</v>
      </c>
      <c r="Q97" s="9">
        <v>-1.1552E-14</v>
      </c>
      <c r="R97" s="9">
        <v>-2.3105E-14</v>
      </c>
      <c r="S97" s="8">
        <v>1</v>
      </c>
      <c r="T97" s="8">
        <v>95</v>
      </c>
      <c r="U97" s="8">
        <v>0</v>
      </c>
      <c r="V97" s="8">
        <v>0.25</v>
      </c>
      <c r="W97" s="8">
        <v>0.3</v>
      </c>
    </row>
    <row r="98" spans="1:23" x14ac:dyDescent="0.15">
      <c r="A98" s="8">
        <v>1</v>
      </c>
      <c r="B98" s="8">
        <v>-33.290999999999997</v>
      </c>
      <c r="C98" s="9">
        <v>-1.1973999999999999E-14</v>
      </c>
      <c r="D98" s="9">
        <v>-2.3947999999999999E-14</v>
      </c>
      <c r="E98" s="8">
        <v>0</v>
      </c>
      <c r="F98" s="8">
        <v>1</v>
      </c>
      <c r="G98" s="9">
        <v>5.7800999999999999E-9</v>
      </c>
      <c r="H98" s="8">
        <v>0</v>
      </c>
      <c r="I98" s="8">
        <v>0</v>
      </c>
      <c r="J98" s="9">
        <v>5.9493000000000003E-10</v>
      </c>
      <c r="K98" s="8">
        <v>0</v>
      </c>
      <c r="L98" s="8">
        <v>0</v>
      </c>
      <c r="M98" s="8">
        <v>-33.290999999999997</v>
      </c>
      <c r="N98" s="9">
        <v>-1.155E-14</v>
      </c>
      <c r="O98" s="8">
        <v>-34.512999999999998</v>
      </c>
      <c r="P98" s="9">
        <v>-2.3100000000000001E-14</v>
      </c>
      <c r="Q98" s="9">
        <v>-1.155E-14</v>
      </c>
      <c r="R98" s="9">
        <v>-2.3100000000000001E-14</v>
      </c>
      <c r="S98" s="8">
        <v>1</v>
      </c>
      <c r="T98" s="8">
        <v>96</v>
      </c>
      <c r="U98" s="8">
        <v>0</v>
      </c>
      <c r="V98" s="8">
        <v>0.25</v>
      </c>
      <c r="W98" s="8">
        <v>0.3</v>
      </c>
    </row>
    <row r="99" spans="1:23" x14ac:dyDescent="0.15">
      <c r="A99" s="8">
        <v>1</v>
      </c>
      <c r="B99" s="8">
        <v>-33.270000000000003</v>
      </c>
      <c r="C99" s="9">
        <v>-1.2029E-14</v>
      </c>
      <c r="D99" s="9">
        <v>-2.4058000000000001E-14</v>
      </c>
      <c r="E99" s="8">
        <v>0</v>
      </c>
      <c r="F99" s="8">
        <v>1</v>
      </c>
      <c r="G99" s="9">
        <v>6.3011999999999997E-9</v>
      </c>
      <c r="H99" s="8">
        <v>0</v>
      </c>
      <c r="I99" s="8">
        <v>0</v>
      </c>
      <c r="J99" s="9">
        <v>2.4772999999999998E-10</v>
      </c>
      <c r="K99" s="8">
        <v>0</v>
      </c>
      <c r="L99" s="8">
        <v>0</v>
      </c>
      <c r="M99" s="8">
        <v>-33.270000000000003</v>
      </c>
      <c r="N99" s="9">
        <v>-1.1543E-14</v>
      </c>
      <c r="O99" s="8">
        <v>-34.670999999999999</v>
      </c>
      <c r="P99" s="9">
        <v>-2.3086E-14</v>
      </c>
      <c r="Q99" s="9">
        <v>-1.1543E-14</v>
      </c>
      <c r="R99" s="9">
        <v>-2.3086E-14</v>
      </c>
      <c r="S99" s="8">
        <v>1</v>
      </c>
      <c r="T99" s="8">
        <v>97</v>
      </c>
      <c r="U99" s="8">
        <v>0</v>
      </c>
      <c r="V99" s="8">
        <v>0.25</v>
      </c>
      <c r="W99" s="8">
        <v>0.3</v>
      </c>
    </row>
    <row r="100" spans="1:23" x14ac:dyDescent="0.15">
      <c r="A100" s="8">
        <v>1</v>
      </c>
      <c r="B100" s="8">
        <v>-33.231999999999999</v>
      </c>
      <c r="C100" s="9">
        <v>-1.2088000000000001E-14</v>
      </c>
      <c r="D100" s="9">
        <v>-2.4176000000000002E-14</v>
      </c>
      <c r="E100" s="8">
        <v>0</v>
      </c>
      <c r="F100" s="8">
        <v>1</v>
      </c>
      <c r="G100" s="9">
        <v>6.8489999999999998E-9</v>
      </c>
      <c r="H100" s="8">
        <v>0</v>
      </c>
      <c r="I100" s="8">
        <v>0</v>
      </c>
      <c r="J100" s="9">
        <v>-1.7951999999999999E-10</v>
      </c>
      <c r="K100" s="8">
        <v>0</v>
      </c>
      <c r="L100" s="8">
        <v>0</v>
      </c>
      <c r="M100" s="8">
        <v>-33.231999999999999</v>
      </c>
      <c r="N100" s="9">
        <v>-1.1529999999999999E-14</v>
      </c>
      <c r="O100" s="8">
        <v>-34.841000000000001</v>
      </c>
      <c r="P100" s="9">
        <v>-2.3058999999999999E-14</v>
      </c>
      <c r="Q100" s="9">
        <v>-1.1529999999999999E-14</v>
      </c>
      <c r="R100" s="9">
        <v>-2.3058999999999999E-14</v>
      </c>
      <c r="S100" s="8">
        <v>1</v>
      </c>
      <c r="T100" s="8">
        <v>98</v>
      </c>
      <c r="U100" s="8">
        <v>0</v>
      </c>
      <c r="V100" s="8">
        <v>0.25</v>
      </c>
      <c r="W100" s="8">
        <v>0.3</v>
      </c>
    </row>
    <row r="101" spans="1:23" x14ac:dyDescent="0.15">
      <c r="A101" s="8">
        <v>1</v>
      </c>
      <c r="B101" s="8">
        <v>-33.176000000000002</v>
      </c>
      <c r="C101" s="9">
        <v>-1.2152E-14</v>
      </c>
      <c r="D101" s="9">
        <v>-2.4305E-14</v>
      </c>
      <c r="E101" s="8">
        <v>0</v>
      </c>
      <c r="F101" s="8">
        <v>1</v>
      </c>
      <c r="G101" s="9">
        <v>7.4179000000000002E-9</v>
      </c>
      <c r="H101" s="8">
        <v>0</v>
      </c>
      <c r="I101" s="8">
        <v>0</v>
      </c>
      <c r="J101" s="9">
        <v>-7.0584000000000002E-10</v>
      </c>
      <c r="K101" s="8">
        <v>0</v>
      </c>
      <c r="L101" s="8">
        <v>0</v>
      </c>
      <c r="M101" s="8">
        <v>-33.176000000000002</v>
      </c>
      <c r="N101" s="9">
        <v>1.0694000000000001E-14</v>
      </c>
      <c r="O101" s="8">
        <v>-35.027000000000001</v>
      </c>
      <c r="P101" s="9">
        <v>-1.4901000000000001E-7</v>
      </c>
      <c r="Q101" s="9">
        <v>1.0694000000000001E-14</v>
      </c>
      <c r="R101" s="9">
        <v>-1.4901000000000001E-7</v>
      </c>
      <c r="S101" s="8">
        <v>1</v>
      </c>
      <c r="T101" s="8">
        <v>99</v>
      </c>
      <c r="U101" s="8">
        <v>0</v>
      </c>
      <c r="V101" s="8">
        <v>0.25</v>
      </c>
      <c r="W101" s="8">
        <v>0.3</v>
      </c>
    </row>
    <row r="102" spans="1:23" x14ac:dyDescent="0.15">
      <c r="A102" s="8">
        <v>1</v>
      </c>
      <c r="B102" s="8">
        <v>-33.101999999999997</v>
      </c>
      <c r="C102" s="9">
        <v>-1.2225E-14</v>
      </c>
      <c r="D102" s="9">
        <v>-2.4448999999999999E-14</v>
      </c>
      <c r="E102" s="8">
        <v>0</v>
      </c>
      <c r="F102" s="8">
        <v>1</v>
      </c>
      <c r="G102" s="9">
        <v>7.9970999999999992E-9</v>
      </c>
      <c r="H102" s="8">
        <v>0</v>
      </c>
      <c r="I102" s="8">
        <v>0</v>
      </c>
      <c r="J102" s="9">
        <v>-1.3540000000000001E-9</v>
      </c>
      <c r="K102" s="8">
        <v>0</v>
      </c>
      <c r="L102" s="8">
        <v>0</v>
      </c>
      <c r="M102" s="8">
        <v>-33.101999999999997</v>
      </c>
      <c r="N102" s="9">
        <v>-1.1484999999999999E-14</v>
      </c>
      <c r="O102" s="8">
        <v>-35.234999999999999</v>
      </c>
      <c r="P102" s="9">
        <v>-2.2968999999999999E-14</v>
      </c>
      <c r="Q102" s="9">
        <v>-1.1484999999999999E-14</v>
      </c>
      <c r="R102" s="9">
        <v>-2.2968999999999999E-14</v>
      </c>
      <c r="S102" s="8">
        <v>1</v>
      </c>
      <c r="T102" s="8">
        <v>100</v>
      </c>
      <c r="U102" s="8">
        <v>0</v>
      </c>
      <c r="V102" s="8">
        <v>0.25</v>
      </c>
      <c r="W102" s="8">
        <v>0.3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02"/>
  <sheetViews>
    <sheetView topLeftCell="D1" workbookViewId="0">
      <selection activeCell="H1" sqref="H1"/>
    </sheetView>
  </sheetViews>
  <sheetFormatPr defaultRowHeight="13.5" x14ac:dyDescent="0.15"/>
  <cols>
    <col min="1" max="2" width="9.125" bestFit="1" customWidth="1"/>
    <col min="3" max="4" width="13.875" bestFit="1" customWidth="1"/>
    <col min="5" max="6" width="9.125" bestFit="1" customWidth="1"/>
    <col min="7" max="7" width="13.875" bestFit="1" customWidth="1"/>
    <col min="8" max="9" width="9.125" bestFit="1" customWidth="1"/>
    <col min="10" max="10" width="13.875" bestFit="1" customWidth="1"/>
    <col min="11" max="13" width="9.125" bestFit="1" customWidth="1"/>
    <col min="14" max="15" width="12.75" bestFit="1" customWidth="1"/>
    <col min="16" max="16" width="9.125" bestFit="1" customWidth="1"/>
    <col min="17" max="18" width="12.75" bestFit="1" customWidth="1"/>
    <col min="19" max="23" width="9.125" bestFit="1" customWidth="1"/>
  </cols>
  <sheetData>
    <row r="1" spans="1:23" x14ac:dyDescent="0.15">
      <c r="A1" s="10" t="s">
        <v>109</v>
      </c>
      <c r="B1" s="10" t="s">
        <v>110</v>
      </c>
      <c r="C1" s="10" t="s">
        <v>111</v>
      </c>
      <c r="D1" s="10" t="s">
        <v>112</v>
      </c>
      <c r="E1" s="10" t="s">
        <v>113</v>
      </c>
      <c r="F1" s="10" t="s">
        <v>114</v>
      </c>
      <c r="G1" s="10" t="s">
        <v>115</v>
      </c>
      <c r="H1" s="10" t="s">
        <v>116</v>
      </c>
      <c r="I1" s="10" t="s">
        <v>117</v>
      </c>
      <c r="J1" s="10" t="s">
        <v>118</v>
      </c>
      <c r="K1" s="10" t="s">
        <v>119</v>
      </c>
      <c r="L1" s="10" t="s">
        <v>120</v>
      </c>
      <c r="M1" s="10" t="s">
        <v>121</v>
      </c>
      <c r="N1" s="10" t="s">
        <v>122</v>
      </c>
      <c r="O1" s="10" t="s">
        <v>123</v>
      </c>
      <c r="P1" s="10" t="s">
        <v>124</v>
      </c>
      <c r="Q1" s="10" t="s">
        <v>125</v>
      </c>
      <c r="R1" s="10" t="s">
        <v>126</v>
      </c>
      <c r="S1" s="10" t="s">
        <v>127</v>
      </c>
      <c r="T1" s="10" t="s">
        <v>128</v>
      </c>
      <c r="U1" s="10" t="s">
        <v>129</v>
      </c>
      <c r="V1" s="10" t="s">
        <v>130</v>
      </c>
      <c r="W1" s="10" t="s">
        <v>131</v>
      </c>
    </row>
    <row r="2" spans="1:23" x14ac:dyDescent="0.15">
      <c r="A2" s="10">
        <v>1</v>
      </c>
      <c r="B2" s="10">
        <v>-18.5185</v>
      </c>
      <c r="C2" s="10">
        <v>0</v>
      </c>
      <c r="D2" s="10">
        <v>0</v>
      </c>
      <c r="E2" s="10">
        <v>0</v>
      </c>
      <c r="F2" s="10">
        <v>1</v>
      </c>
      <c r="G2" s="10">
        <v>2.90302E-8</v>
      </c>
      <c r="H2" s="10">
        <v>0</v>
      </c>
      <c r="I2" s="10">
        <v>0</v>
      </c>
      <c r="J2" s="10">
        <v>3.9203600000000003E-9</v>
      </c>
      <c r="K2" s="10">
        <v>0</v>
      </c>
      <c r="L2" s="10">
        <v>0</v>
      </c>
      <c r="M2" s="10">
        <v>-12.9961</v>
      </c>
      <c r="N2" s="10">
        <v>0</v>
      </c>
      <c r="O2" s="10">
        <v>0</v>
      </c>
      <c r="P2" s="10">
        <v>-12.9961</v>
      </c>
      <c r="Q2" s="10">
        <v>0</v>
      </c>
      <c r="R2" s="10">
        <v>0</v>
      </c>
      <c r="S2" s="10">
        <v>1</v>
      </c>
      <c r="T2" s="10">
        <v>0</v>
      </c>
      <c r="U2" s="10">
        <v>0</v>
      </c>
      <c r="V2" s="10">
        <v>0.28571400000000002</v>
      </c>
      <c r="W2" s="10">
        <v>0.28571400000000002</v>
      </c>
    </row>
    <row r="3" spans="1:23" x14ac:dyDescent="0.15">
      <c r="A3" s="10">
        <v>1</v>
      </c>
      <c r="B3" s="10">
        <v>-18.688199999999998</v>
      </c>
      <c r="C3" s="10">
        <v>0</v>
      </c>
      <c r="D3" s="10">
        <v>0</v>
      </c>
      <c r="E3" s="10">
        <v>0</v>
      </c>
      <c r="F3" s="10">
        <v>1</v>
      </c>
      <c r="G3" s="10">
        <v>3.0622299999999998E-8</v>
      </c>
      <c r="H3" s="10">
        <v>0</v>
      </c>
      <c r="I3" s="10">
        <v>0</v>
      </c>
      <c r="J3" s="10">
        <v>3.4902999999999998E-9</v>
      </c>
      <c r="K3" s="10">
        <v>0</v>
      </c>
      <c r="L3" s="10">
        <v>0</v>
      </c>
      <c r="M3" s="10">
        <v>-13.045500000000001</v>
      </c>
      <c r="N3" s="10">
        <v>0</v>
      </c>
      <c r="O3" s="10">
        <v>0</v>
      </c>
      <c r="P3" s="10">
        <v>-13.045500000000001</v>
      </c>
      <c r="Q3" s="10">
        <v>0</v>
      </c>
      <c r="R3" s="10">
        <v>0</v>
      </c>
      <c r="S3" s="10">
        <v>1</v>
      </c>
      <c r="T3" s="10">
        <v>1</v>
      </c>
      <c r="U3" s="10">
        <v>0</v>
      </c>
      <c r="V3" s="10">
        <v>0.28571400000000002</v>
      </c>
      <c r="W3" s="10">
        <v>0.28571400000000002</v>
      </c>
    </row>
    <row r="4" spans="1:23" x14ac:dyDescent="0.15">
      <c r="A4" s="10">
        <v>1</v>
      </c>
      <c r="B4" s="10">
        <v>-18.8444</v>
      </c>
      <c r="C4" s="10">
        <v>0</v>
      </c>
      <c r="D4" s="10">
        <v>0</v>
      </c>
      <c r="E4" s="10">
        <v>0</v>
      </c>
      <c r="F4" s="10">
        <v>1</v>
      </c>
      <c r="G4" s="10">
        <v>3.2407799999999997E-8</v>
      </c>
      <c r="H4" s="10">
        <v>0</v>
      </c>
      <c r="I4" s="10">
        <v>0</v>
      </c>
      <c r="J4" s="10">
        <v>2.9910599999999998E-9</v>
      </c>
      <c r="K4" s="10">
        <v>0</v>
      </c>
      <c r="L4" s="10">
        <v>0</v>
      </c>
      <c r="M4" s="10">
        <v>-13.1005</v>
      </c>
      <c r="N4" s="10">
        <v>0</v>
      </c>
      <c r="O4" s="10">
        <v>0</v>
      </c>
      <c r="P4" s="10">
        <v>-13.1005</v>
      </c>
      <c r="Q4" s="10">
        <v>0</v>
      </c>
      <c r="R4" s="10">
        <v>0</v>
      </c>
      <c r="S4" s="10">
        <v>1</v>
      </c>
      <c r="T4" s="10">
        <v>2</v>
      </c>
      <c r="U4" s="10">
        <v>0</v>
      </c>
      <c r="V4" s="10">
        <v>0.28571400000000002</v>
      </c>
      <c r="W4" s="10">
        <v>0.28571400000000002</v>
      </c>
    </row>
    <row r="5" spans="1:23" x14ac:dyDescent="0.15">
      <c r="A5" s="10">
        <v>1</v>
      </c>
      <c r="B5" s="10">
        <v>-18.986899999999999</v>
      </c>
      <c r="C5" s="10">
        <v>1.04308E-7</v>
      </c>
      <c r="D5" s="10">
        <v>1.04308E-7</v>
      </c>
      <c r="E5" s="10">
        <v>0</v>
      </c>
      <c r="F5" s="10">
        <v>1</v>
      </c>
      <c r="G5" s="10">
        <v>3.4427500000000002E-8</v>
      </c>
      <c r="H5" s="10">
        <v>0</v>
      </c>
      <c r="I5" s="10">
        <v>0</v>
      </c>
      <c r="J5" s="10">
        <v>2.3988300000000001E-9</v>
      </c>
      <c r="K5" s="10">
        <v>0</v>
      </c>
      <c r="L5" s="10">
        <v>0</v>
      </c>
      <c r="M5" s="10">
        <v>-13.161</v>
      </c>
      <c r="N5" s="10">
        <v>0</v>
      </c>
      <c r="O5" s="10">
        <v>0</v>
      </c>
      <c r="P5" s="10">
        <v>-13.161</v>
      </c>
      <c r="Q5" s="10">
        <v>0</v>
      </c>
      <c r="R5" s="10">
        <v>0</v>
      </c>
      <c r="S5" s="10">
        <v>1</v>
      </c>
      <c r="T5" s="10">
        <v>3</v>
      </c>
      <c r="U5" s="10">
        <v>0</v>
      </c>
      <c r="V5" s="10">
        <v>0.28571400000000002</v>
      </c>
      <c r="W5" s="10">
        <v>0.28571400000000002</v>
      </c>
    </row>
    <row r="6" spans="1:23" x14ac:dyDescent="0.15">
      <c r="A6" s="10">
        <v>1</v>
      </c>
      <c r="B6" s="10">
        <v>-19.115100000000002</v>
      </c>
      <c r="C6" s="10">
        <v>-1.08802E-14</v>
      </c>
      <c r="D6" s="10">
        <v>-1.08802E-14</v>
      </c>
      <c r="E6" s="10">
        <v>0</v>
      </c>
      <c r="F6" s="10">
        <v>1</v>
      </c>
      <c r="G6" s="10">
        <v>3.6733100000000001E-8</v>
      </c>
      <c r="H6" s="10">
        <v>0</v>
      </c>
      <c r="I6" s="10">
        <v>0</v>
      </c>
      <c r="J6" s="10">
        <v>1.68031E-9</v>
      </c>
      <c r="K6" s="10">
        <v>0</v>
      </c>
      <c r="L6" s="10">
        <v>0</v>
      </c>
      <c r="M6" s="10">
        <v>-13.227399999999999</v>
      </c>
      <c r="N6" s="10">
        <v>0</v>
      </c>
      <c r="O6" s="10">
        <v>0</v>
      </c>
      <c r="P6" s="10">
        <v>-13.227399999999999</v>
      </c>
      <c r="Q6" s="10">
        <v>0</v>
      </c>
      <c r="R6" s="10">
        <v>0</v>
      </c>
      <c r="S6" s="10">
        <v>1</v>
      </c>
      <c r="T6" s="10">
        <v>4</v>
      </c>
      <c r="U6" s="10">
        <v>0</v>
      </c>
      <c r="V6" s="10">
        <v>0.28571400000000002</v>
      </c>
      <c r="W6" s="10">
        <v>0.28571400000000002</v>
      </c>
    </row>
    <row r="7" spans="1:23" x14ac:dyDescent="0.15">
      <c r="A7" s="10">
        <v>1</v>
      </c>
      <c r="B7" s="10">
        <v>-19.227599999999999</v>
      </c>
      <c r="C7" s="10">
        <v>0</v>
      </c>
      <c r="D7" s="10">
        <v>0</v>
      </c>
      <c r="E7" s="10">
        <v>0</v>
      </c>
      <c r="F7" s="10">
        <v>1</v>
      </c>
      <c r="G7" s="10">
        <v>3.9390700000000002E-8</v>
      </c>
      <c r="H7" s="10">
        <v>0</v>
      </c>
      <c r="I7" s="10">
        <v>0</v>
      </c>
      <c r="J7" s="10">
        <v>7.87847E-10</v>
      </c>
      <c r="K7" s="10">
        <v>0</v>
      </c>
      <c r="L7" s="10">
        <v>0</v>
      </c>
      <c r="M7" s="10">
        <v>-13.3002</v>
      </c>
      <c r="N7" s="10">
        <v>0</v>
      </c>
      <c r="O7" s="10">
        <v>0</v>
      </c>
      <c r="P7" s="10">
        <v>-13.3002</v>
      </c>
      <c r="Q7" s="10">
        <v>0</v>
      </c>
      <c r="R7" s="10">
        <v>0</v>
      </c>
      <c r="S7" s="10">
        <v>1</v>
      </c>
      <c r="T7" s="10">
        <v>5</v>
      </c>
      <c r="U7" s="10">
        <v>0</v>
      </c>
      <c r="V7" s="10">
        <v>0.28571400000000002</v>
      </c>
      <c r="W7" s="10">
        <v>0.28571400000000002</v>
      </c>
    </row>
    <row r="8" spans="1:23" x14ac:dyDescent="0.15">
      <c r="A8" s="10">
        <v>1</v>
      </c>
      <c r="B8" s="10">
        <v>-19.322600000000001</v>
      </c>
      <c r="C8" s="10">
        <v>-5.4400899999999996E-15</v>
      </c>
      <c r="D8" s="10">
        <v>-5.4400899999999996E-15</v>
      </c>
      <c r="E8" s="10">
        <v>0</v>
      </c>
      <c r="F8" s="10">
        <v>1</v>
      </c>
      <c r="G8" s="10">
        <v>4.2486199999999998E-8</v>
      </c>
      <c r="H8" s="10">
        <v>0</v>
      </c>
      <c r="I8" s="10">
        <v>0</v>
      </c>
      <c r="J8" s="10">
        <v>-3.4845600000000002E-10</v>
      </c>
      <c r="K8" s="10">
        <v>0</v>
      </c>
      <c r="L8" s="10">
        <v>0</v>
      </c>
      <c r="M8" s="10">
        <v>-13.3805</v>
      </c>
      <c r="N8" s="10">
        <v>0</v>
      </c>
      <c r="O8" s="10">
        <v>0</v>
      </c>
      <c r="P8" s="10">
        <v>-13.3805</v>
      </c>
      <c r="Q8" s="10">
        <v>0</v>
      </c>
      <c r="R8" s="10">
        <v>0</v>
      </c>
      <c r="S8" s="10">
        <v>1</v>
      </c>
      <c r="T8" s="10">
        <v>6</v>
      </c>
      <c r="U8" s="10">
        <v>0</v>
      </c>
      <c r="V8" s="10">
        <v>0.28571400000000002</v>
      </c>
      <c r="W8" s="10">
        <v>0.28571400000000002</v>
      </c>
    </row>
    <row r="9" spans="1:23" x14ac:dyDescent="0.15">
      <c r="A9" s="10">
        <v>1</v>
      </c>
      <c r="B9" s="10">
        <v>-19.397099999999998</v>
      </c>
      <c r="C9" s="10">
        <v>0</v>
      </c>
      <c r="D9" s="10">
        <v>0</v>
      </c>
      <c r="E9" s="10">
        <v>0</v>
      </c>
      <c r="F9" s="10">
        <v>1</v>
      </c>
      <c r="G9" s="10">
        <v>4.6132400000000001E-8</v>
      </c>
      <c r="H9" s="10">
        <v>0</v>
      </c>
      <c r="I9" s="10">
        <v>0</v>
      </c>
      <c r="J9" s="10">
        <v>-1.8340799999999999E-9</v>
      </c>
      <c r="K9" s="10">
        <v>0</v>
      </c>
      <c r="L9" s="10">
        <v>0</v>
      </c>
      <c r="M9" s="10">
        <v>-13.4701</v>
      </c>
      <c r="N9" s="10">
        <v>0</v>
      </c>
      <c r="O9" s="10">
        <v>0</v>
      </c>
      <c r="P9" s="10">
        <v>-13.4701</v>
      </c>
      <c r="Q9" s="10">
        <v>0</v>
      </c>
      <c r="R9" s="10">
        <v>0</v>
      </c>
      <c r="S9" s="10">
        <v>1</v>
      </c>
      <c r="T9" s="10">
        <v>7</v>
      </c>
      <c r="U9" s="10">
        <v>0</v>
      </c>
      <c r="V9" s="10">
        <v>0.28571400000000002</v>
      </c>
      <c r="W9" s="10">
        <v>0.28571400000000002</v>
      </c>
    </row>
    <row r="10" spans="1:23" x14ac:dyDescent="0.15">
      <c r="A10" s="10">
        <v>1</v>
      </c>
      <c r="B10" s="10">
        <v>-19.446899999999999</v>
      </c>
      <c r="C10" s="10">
        <v>0</v>
      </c>
      <c r="D10" s="10">
        <v>0</v>
      </c>
      <c r="E10" s="10">
        <v>0</v>
      </c>
      <c r="F10" s="10">
        <v>1</v>
      </c>
      <c r="G10" s="10">
        <v>5.0478100000000003E-8</v>
      </c>
      <c r="H10" s="10">
        <v>0</v>
      </c>
      <c r="I10" s="10">
        <v>0</v>
      </c>
      <c r="J10" s="10">
        <v>-3.8333099999999999E-9</v>
      </c>
      <c r="K10" s="10">
        <v>0</v>
      </c>
      <c r="L10" s="10">
        <v>0</v>
      </c>
      <c r="M10" s="10">
        <v>-13.5723</v>
      </c>
      <c r="N10" s="10">
        <v>0</v>
      </c>
      <c r="O10" s="10">
        <v>0</v>
      </c>
      <c r="P10" s="10">
        <v>-13.5723</v>
      </c>
      <c r="Q10" s="10">
        <v>0</v>
      </c>
      <c r="R10" s="10">
        <v>0</v>
      </c>
      <c r="S10" s="10">
        <v>1</v>
      </c>
      <c r="T10" s="10">
        <v>8</v>
      </c>
      <c r="U10" s="10">
        <v>0</v>
      </c>
      <c r="V10" s="10">
        <v>0.28571400000000002</v>
      </c>
      <c r="W10" s="10">
        <v>0.28571400000000002</v>
      </c>
    </row>
    <row r="11" spans="1:23" x14ac:dyDescent="0.15">
      <c r="A11" s="10">
        <v>1</v>
      </c>
      <c r="B11" s="10">
        <v>-19.466000000000001</v>
      </c>
      <c r="C11" s="10">
        <v>0</v>
      </c>
      <c r="D11" s="10">
        <v>0</v>
      </c>
      <c r="E11" s="10">
        <v>0</v>
      </c>
      <c r="F11" s="10">
        <v>1</v>
      </c>
      <c r="G11" s="10">
        <v>5.5718999999999998E-8</v>
      </c>
      <c r="H11" s="10">
        <v>0</v>
      </c>
      <c r="I11" s="10">
        <v>0</v>
      </c>
      <c r="J11" s="10">
        <v>-6.6112900000000002E-9</v>
      </c>
      <c r="K11" s="10">
        <v>0</v>
      </c>
      <c r="L11" s="10">
        <v>0</v>
      </c>
      <c r="M11" s="10">
        <v>-13.692500000000001</v>
      </c>
      <c r="N11" s="10">
        <v>0</v>
      </c>
      <c r="O11" s="10">
        <v>0</v>
      </c>
      <c r="P11" s="10">
        <v>-13.692500000000001</v>
      </c>
      <c r="Q11" s="10">
        <v>0</v>
      </c>
      <c r="R11" s="10">
        <v>0</v>
      </c>
      <c r="S11" s="10">
        <v>1</v>
      </c>
      <c r="T11" s="10">
        <v>9</v>
      </c>
      <c r="U11" s="10">
        <v>0</v>
      </c>
      <c r="V11" s="10">
        <v>0.28571400000000002</v>
      </c>
      <c r="W11" s="10">
        <v>0.28571400000000002</v>
      </c>
    </row>
    <row r="12" spans="1:23" x14ac:dyDescent="0.15">
      <c r="A12" s="10">
        <v>1</v>
      </c>
      <c r="B12" s="10">
        <v>-19.446000000000002</v>
      </c>
      <c r="C12" s="10">
        <v>0</v>
      </c>
      <c r="D12" s="10">
        <v>0</v>
      </c>
      <c r="E12" s="10">
        <v>0</v>
      </c>
      <c r="F12" s="10">
        <v>1</v>
      </c>
      <c r="G12" s="10">
        <v>6.2104899999999994E-8</v>
      </c>
      <c r="H12" s="10">
        <v>0</v>
      </c>
      <c r="I12" s="10">
        <v>0</v>
      </c>
      <c r="J12" s="10">
        <v>-1.0613099999999999E-8</v>
      </c>
      <c r="K12" s="10">
        <v>0</v>
      </c>
      <c r="L12" s="10">
        <v>0</v>
      </c>
      <c r="M12" s="10">
        <v>-13.8407</v>
      </c>
      <c r="N12" s="10">
        <v>0</v>
      </c>
      <c r="O12" s="10">
        <v>0</v>
      </c>
      <c r="P12" s="10">
        <v>-13.8407</v>
      </c>
      <c r="Q12" s="10">
        <v>0</v>
      </c>
      <c r="R12" s="10">
        <v>0</v>
      </c>
      <c r="S12" s="10">
        <v>1</v>
      </c>
      <c r="T12" s="10">
        <v>10</v>
      </c>
      <c r="U12" s="10">
        <v>0</v>
      </c>
      <c r="V12" s="10">
        <v>0.28571400000000002</v>
      </c>
      <c r="W12" s="10">
        <v>0.28571400000000002</v>
      </c>
    </row>
    <row r="13" spans="1:23" x14ac:dyDescent="0.15">
      <c r="A13" s="10">
        <v>1</v>
      </c>
      <c r="B13" s="10">
        <v>-19.375599999999999</v>
      </c>
      <c r="C13" s="10">
        <v>0</v>
      </c>
      <c r="D13" s="10">
        <v>0</v>
      </c>
      <c r="E13" s="10">
        <v>0</v>
      </c>
      <c r="F13" s="10">
        <v>1</v>
      </c>
      <c r="G13" s="10">
        <v>6.9924199999999996E-8</v>
      </c>
      <c r="H13" s="10">
        <v>0</v>
      </c>
      <c r="I13" s="10">
        <v>0</v>
      </c>
      <c r="J13" s="10">
        <v>-1.6617599999999999E-8</v>
      </c>
      <c r="K13" s="10">
        <v>0</v>
      </c>
      <c r="L13" s="10">
        <v>0</v>
      </c>
      <c r="M13" s="10">
        <v>-14.035299999999999</v>
      </c>
      <c r="N13" s="10">
        <v>0</v>
      </c>
      <c r="O13" s="10">
        <v>0</v>
      </c>
      <c r="P13" s="10">
        <v>-14.035299999999999</v>
      </c>
      <c r="Q13" s="10">
        <v>0</v>
      </c>
      <c r="R13" s="10">
        <v>0</v>
      </c>
      <c r="S13" s="10">
        <v>1</v>
      </c>
      <c r="T13" s="10">
        <v>11</v>
      </c>
      <c r="U13" s="10">
        <v>0</v>
      </c>
      <c r="V13" s="10">
        <v>0.28571400000000002</v>
      </c>
      <c r="W13" s="10">
        <v>0.28571400000000002</v>
      </c>
    </row>
    <row r="14" spans="1:23" x14ac:dyDescent="0.15">
      <c r="A14" s="10">
        <v>1</v>
      </c>
      <c r="B14" s="10">
        <v>-19.2423</v>
      </c>
      <c r="C14" s="10">
        <v>0</v>
      </c>
      <c r="D14" s="10">
        <v>0</v>
      </c>
      <c r="E14" s="10">
        <v>0</v>
      </c>
      <c r="F14" s="10">
        <v>1</v>
      </c>
      <c r="G14" s="10">
        <v>7.9388900000000005E-8</v>
      </c>
      <c r="H14" s="10">
        <v>0</v>
      </c>
      <c r="I14" s="10">
        <v>0</v>
      </c>
      <c r="J14" s="10">
        <v>-2.6042299999999999E-8</v>
      </c>
      <c r="K14" s="10">
        <v>0</v>
      </c>
      <c r="L14" s="10">
        <v>0</v>
      </c>
      <c r="M14" s="10">
        <v>-14.3116</v>
      </c>
      <c r="N14" s="10">
        <v>0</v>
      </c>
      <c r="O14" s="10">
        <v>0</v>
      </c>
      <c r="P14" s="10">
        <v>-14.3116</v>
      </c>
      <c r="Q14" s="10">
        <v>0</v>
      </c>
      <c r="R14" s="10">
        <v>0</v>
      </c>
      <c r="S14" s="10">
        <v>1</v>
      </c>
      <c r="T14" s="10">
        <v>12</v>
      </c>
      <c r="U14" s="10">
        <v>0</v>
      </c>
      <c r="V14" s="10">
        <v>0.28571400000000002</v>
      </c>
      <c r="W14" s="10">
        <v>0.28571400000000002</v>
      </c>
    </row>
    <row r="15" spans="1:23" x14ac:dyDescent="0.15">
      <c r="A15" s="10">
        <v>1</v>
      </c>
      <c r="B15" s="10">
        <v>-19.0413</v>
      </c>
      <c r="C15" s="10">
        <v>1.5646199999999999E-7</v>
      </c>
      <c r="D15" s="10">
        <v>1.5646199999999999E-7</v>
      </c>
      <c r="E15" s="10">
        <v>0</v>
      </c>
      <c r="F15" s="10">
        <v>1</v>
      </c>
      <c r="G15" s="10">
        <v>9.0155000000000002E-8</v>
      </c>
      <c r="H15" s="10">
        <v>0</v>
      </c>
      <c r="I15" s="10">
        <v>0</v>
      </c>
      <c r="J15" s="10">
        <v>-4.1516800000000003E-8</v>
      </c>
      <c r="K15" s="10">
        <v>0</v>
      </c>
      <c r="L15" s="10">
        <v>0</v>
      </c>
      <c r="M15" s="10">
        <v>-14.7393</v>
      </c>
      <c r="N15" s="10">
        <v>0</v>
      </c>
      <c r="O15" s="10">
        <v>0</v>
      </c>
      <c r="P15" s="10">
        <v>-14.7393</v>
      </c>
      <c r="Q15" s="10">
        <v>0</v>
      </c>
      <c r="R15" s="10">
        <v>0</v>
      </c>
      <c r="S15" s="10">
        <v>1</v>
      </c>
      <c r="T15" s="10">
        <v>13</v>
      </c>
      <c r="U15" s="10">
        <v>0</v>
      </c>
      <c r="V15" s="10">
        <v>0.28571400000000002</v>
      </c>
      <c r="W15" s="10">
        <v>0.28571400000000002</v>
      </c>
    </row>
    <row r="16" spans="1:23" x14ac:dyDescent="0.15">
      <c r="A16" s="10">
        <v>1</v>
      </c>
      <c r="B16" s="10">
        <v>-18.8171</v>
      </c>
      <c r="C16" s="10">
        <v>0</v>
      </c>
      <c r="D16" s="10">
        <v>0</v>
      </c>
      <c r="E16" s="10">
        <v>0</v>
      </c>
      <c r="F16" s="10">
        <v>1</v>
      </c>
      <c r="G16" s="10">
        <v>9.9573000000000001E-8</v>
      </c>
      <c r="H16" s="10">
        <v>0</v>
      </c>
      <c r="I16" s="10">
        <v>0</v>
      </c>
      <c r="J16" s="10">
        <v>-6.7633700000000006E-8</v>
      </c>
      <c r="K16" s="10">
        <v>0</v>
      </c>
      <c r="L16" s="10">
        <v>0</v>
      </c>
      <c r="M16" s="10">
        <v>-15.450900000000001</v>
      </c>
      <c r="N16" s="10">
        <v>0</v>
      </c>
      <c r="O16" s="10">
        <v>0</v>
      </c>
      <c r="P16" s="10">
        <v>-15.450900000000001</v>
      </c>
      <c r="Q16" s="10">
        <v>0</v>
      </c>
      <c r="R16" s="10">
        <v>0</v>
      </c>
      <c r="S16" s="10">
        <v>1</v>
      </c>
      <c r="T16" s="10">
        <v>14</v>
      </c>
      <c r="U16" s="10">
        <v>0</v>
      </c>
      <c r="V16" s="10">
        <v>0.28571400000000002</v>
      </c>
      <c r="W16" s="10">
        <v>0.28571400000000002</v>
      </c>
    </row>
    <row r="17" spans="1:23" x14ac:dyDescent="0.15">
      <c r="A17" s="10">
        <v>1</v>
      </c>
      <c r="B17" s="10">
        <v>-18.804099999999998</v>
      </c>
      <c r="C17" s="10">
        <v>5.2154099999999997E-8</v>
      </c>
      <c r="D17" s="10">
        <v>5.2154099999999997E-8</v>
      </c>
      <c r="E17" s="10">
        <v>0</v>
      </c>
      <c r="F17" s="10">
        <v>1</v>
      </c>
      <c r="G17" s="10">
        <v>9.7552100000000004E-8</v>
      </c>
      <c r="H17" s="10">
        <v>0</v>
      </c>
      <c r="I17" s="10">
        <v>0</v>
      </c>
      <c r="J17" s="10">
        <v>-1.09536E-7</v>
      </c>
      <c r="K17" s="10">
        <v>0</v>
      </c>
      <c r="L17" s="10">
        <v>0</v>
      </c>
      <c r="M17" s="10">
        <v>-16.632300000000001</v>
      </c>
      <c r="N17" s="10">
        <v>0</v>
      </c>
      <c r="O17" s="10">
        <v>0</v>
      </c>
      <c r="P17" s="10">
        <v>-16.632300000000001</v>
      </c>
      <c r="Q17" s="10">
        <v>0</v>
      </c>
      <c r="R17" s="10">
        <v>0</v>
      </c>
      <c r="S17" s="10">
        <v>1</v>
      </c>
      <c r="T17" s="10">
        <v>15</v>
      </c>
      <c r="U17" s="10">
        <v>0</v>
      </c>
      <c r="V17" s="10">
        <v>0.28571400000000002</v>
      </c>
      <c r="W17" s="10">
        <v>0.28571400000000002</v>
      </c>
    </row>
    <row r="18" spans="1:23" x14ac:dyDescent="0.15">
      <c r="A18" s="10">
        <v>1</v>
      </c>
      <c r="B18" s="10">
        <v>-19.628900000000002</v>
      </c>
      <c r="C18" s="10">
        <v>0</v>
      </c>
      <c r="D18" s="10">
        <v>0</v>
      </c>
      <c r="E18" s="10">
        <v>0</v>
      </c>
      <c r="F18" s="10">
        <v>1</v>
      </c>
      <c r="G18" s="10">
        <v>6.1673899999999995E-8</v>
      </c>
      <c r="H18" s="10">
        <v>0</v>
      </c>
      <c r="I18" s="10">
        <v>0</v>
      </c>
      <c r="J18" s="10">
        <v>-1.5833199999999999E-7</v>
      </c>
      <c r="K18" s="10">
        <v>0</v>
      </c>
      <c r="L18" s="10">
        <v>0</v>
      </c>
      <c r="M18" s="10">
        <v>-18.171399999999998</v>
      </c>
      <c r="N18" s="10">
        <v>0</v>
      </c>
      <c r="O18" s="10">
        <v>0</v>
      </c>
      <c r="P18" s="10">
        <v>-18.171399999999998</v>
      </c>
      <c r="Q18" s="10">
        <v>0</v>
      </c>
      <c r="R18" s="10">
        <v>0</v>
      </c>
      <c r="S18" s="10">
        <v>1</v>
      </c>
      <c r="T18" s="10">
        <v>16</v>
      </c>
      <c r="U18" s="10">
        <v>0</v>
      </c>
      <c r="V18" s="10">
        <v>0.28571400000000002</v>
      </c>
      <c r="W18" s="10">
        <v>0.28571400000000002</v>
      </c>
    </row>
    <row r="19" spans="1:23" x14ac:dyDescent="0.15">
      <c r="A19" s="10">
        <v>1</v>
      </c>
      <c r="B19" s="10">
        <v>-21.556100000000001</v>
      </c>
      <c r="C19" s="10">
        <v>0</v>
      </c>
      <c r="D19" s="10">
        <v>0</v>
      </c>
      <c r="E19" s="10">
        <v>0</v>
      </c>
      <c r="F19" s="10">
        <v>1</v>
      </c>
      <c r="G19" s="10">
        <v>-9.4361600000000006E-9</v>
      </c>
      <c r="H19" s="10">
        <v>0</v>
      </c>
      <c r="I19" s="10">
        <v>0</v>
      </c>
      <c r="J19" s="10">
        <v>-1.7056599999999999E-7</v>
      </c>
      <c r="K19" s="10">
        <v>0</v>
      </c>
      <c r="L19" s="10">
        <v>0</v>
      </c>
      <c r="M19" s="10">
        <v>-18.9513</v>
      </c>
      <c r="N19" s="10">
        <v>0</v>
      </c>
      <c r="O19" s="10">
        <v>0</v>
      </c>
      <c r="P19" s="10">
        <v>-18.9513</v>
      </c>
      <c r="Q19" s="10">
        <v>0</v>
      </c>
      <c r="R19" s="10">
        <v>0</v>
      </c>
      <c r="S19" s="10">
        <v>1</v>
      </c>
      <c r="T19" s="10">
        <v>17</v>
      </c>
      <c r="U19" s="10">
        <v>0</v>
      </c>
      <c r="V19" s="10">
        <v>0.28571400000000002</v>
      </c>
      <c r="W19" s="10">
        <v>0.28571400000000002</v>
      </c>
    </row>
    <row r="20" spans="1:23" x14ac:dyDescent="0.15">
      <c r="A20" s="10">
        <v>1</v>
      </c>
      <c r="B20" s="10">
        <v>-23.250399999999999</v>
      </c>
      <c r="C20" s="10">
        <v>0</v>
      </c>
      <c r="D20" s="10">
        <v>0</v>
      </c>
      <c r="E20" s="10">
        <v>0</v>
      </c>
      <c r="F20" s="10">
        <v>1</v>
      </c>
      <c r="G20" s="10">
        <v>-6.15707E-8</v>
      </c>
      <c r="H20" s="10">
        <v>0</v>
      </c>
      <c r="I20" s="10">
        <v>0</v>
      </c>
      <c r="J20" s="10">
        <v>-1.33598E-7</v>
      </c>
      <c r="K20" s="10">
        <v>0</v>
      </c>
      <c r="L20" s="10">
        <v>0</v>
      </c>
      <c r="M20" s="10">
        <v>-18.359400000000001</v>
      </c>
      <c r="N20" s="10">
        <v>0</v>
      </c>
      <c r="O20" s="10">
        <v>0</v>
      </c>
      <c r="P20" s="10">
        <v>-18.359400000000001</v>
      </c>
      <c r="Q20" s="10">
        <v>0</v>
      </c>
      <c r="R20" s="10">
        <v>0</v>
      </c>
      <c r="S20" s="10">
        <v>1</v>
      </c>
      <c r="T20" s="10">
        <v>18</v>
      </c>
      <c r="U20" s="10">
        <v>0</v>
      </c>
      <c r="V20" s="10">
        <v>0.28571400000000002</v>
      </c>
      <c r="W20" s="10">
        <v>0.28571400000000002</v>
      </c>
    </row>
    <row r="21" spans="1:23" x14ac:dyDescent="0.15">
      <c r="A21" s="10">
        <v>1</v>
      </c>
      <c r="B21" s="10">
        <v>-24.002600000000001</v>
      </c>
      <c r="C21" s="10">
        <v>-1.08802E-14</v>
      </c>
      <c r="D21" s="10">
        <v>-1.08802E-14</v>
      </c>
      <c r="E21" s="10">
        <v>0</v>
      </c>
      <c r="F21" s="10">
        <v>1</v>
      </c>
      <c r="G21" s="10">
        <v>-7.6116700000000003E-8</v>
      </c>
      <c r="H21" s="10">
        <v>0</v>
      </c>
      <c r="I21" s="10">
        <v>0</v>
      </c>
      <c r="J21" s="10">
        <v>-9.0670299999999994E-8</v>
      </c>
      <c r="K21" s="10">
        <v>0</v>
      </c>
      <c r="L21" s="10">
        <v>0</v>
      </c>
      <c r="M21" s="10">
        <v>-17.416</v>
      </c>
      <c r="N21" s="10">
        <v>0</v>
      </c>
      <c r="O21" s="10">
        <v>0</v>
      </c>
      <c r="P21" s="10">
        <v>-17.416</v>
      </c>
      <c r="Q21" s="10">
        <v>0</v>
      </c>
      <c r="R21" s="10">
        <v>0</v>
      </c>
      <c r="S21" s="10">
        <v>1</v>
      </c>
      <c r="T21" s="10">
        <v>19</v>
      </c>
      <c r="U21" s="10">
        <v>0</v>
      </c>
      <c r="V21" s="10">
        <v>0.28571400000000002</v>
      </c>
      <c r="W21" s="10">
        <v>0.28571400000000002</v>
      </c>
    </row>
    <row r="22" spans="1:23" x14ac:dyDescent="0.15">
      <c r="A22" s="10">
        <v>1</v>
      </c>
      <c r="B22" s="10">
        <v>-24.229500000000002</v>
      </c>
      <c r="C22" s="10">
        <v>0</v>
      </c>
      <c r="D22" s="10">
        <v>0</v>
      </c>
      <c r="E22" s="10">
        <v>0</v>
      </c>
      <c r="F22" s="10">
        <v>1</v>
      </c>
      <c r="G22" s="10">
        <v>-7.3057099999999996E-8</v>
      </c>
      <c r="H22" s="10">
        <v>0</v>
      </c>
      <c r="I22" s="10">
        <v>0</v>
      </c>
      <c r="J22" s="10">
        <v>-6.0843199999999995E-8</v>
      </c>
      <c r="K22" s="10">
        <v>0</v>
      </c>
      <c r="L22" s="10">
        <v>0</v>
      </c>
      <c r="M22" s="10">
        <v>-16.7195</v>
      </c>
      <c r="N22" s="10">
        <v>0</v>
      </c>
      <c r="O22" s="10">
        <v>0</v>
      </c>
      <c r="P22" s="10">
        <v>-16.7195</v>
      </c>
      <c r="Q22" s="10">
        <v>0</v>
      </c>
      <c r="R22" s="10">
        <v>0</v>
      </c>
      <c r="S22" s="10">
        <v>1</v>
      </c>
      <c r="T22" s="10">
        <v>20</v>
      </c>
      <c r="U22" s="10">
        <v>0</v>
      </c>
      <c r="V22" s="10">
        <v>0.28571400000000002</v>
      </c>
      <c r="W22" s="10">
        <v>0.28571400000000002</v>
      </c>
    </row>
    <row r="23" spans="1:23" x14ac:dyDescent="0.15">
      <c r="A23" s="10">
        <v>1</v>
      </c>
      <c r="B23" s="10">
        <v>-24.2788</v>
      </c>
      <c r="C23" s="10">
        <v>0</v>
      </c>
      <c r="D23" s="10">
        <v>0</v>
      </c>
      <c r="E23" s="10">
        <v>0</v>
      </c>
      <c r="F23" s="10">
        <v>1</v>
      </c>
      <c r="G23" s="10">
        <v>-6.5439400000000003E-8</v>
      </c>
      <c r="H23" s="10">
        <v>0</v>
      </c>
      <c r="I23" s="10">
        <v>0</v>
      </c>
      <c r="J23" s="10">
        <v>-4.2152900000000002E-8</v>
      </c>
      <c r="K23" s="10">
        <v>0</v>
      </c>
      <c r="L23" s="10">
        <v>0</v>
      </c>
      <c r="M23" s="10">
        <v>-16.287299999999998</v>
      </c>
      <c r="N23" s="10">
        <v>8.8660100000000004E-7</v>
      </c>
      <c r="O23" s="10">
        <v>8.8660100000000004E-7</v>
      </c>
      <c r="P23" s="10">
        <v>-16.287299999999998</v>
      </c>
      <c r="Q23" s="10">
        <v>8.8660100000000004E-7</v>
      </c>
      <c r="R23" s="10">
        <v>8.8660100000000004E-7</v>
      </c>
      <c r="S23" s="10">
        <v>1</v>
      </c>
      <c r="T23" s="10">
        <v>21</v>
      </c>
      <c r="U23" s="10">
        <v>0</v>
      </c>
      <c r="V23" s="10">
        <v>0.28571400000000002</v>
      </c>
      <c r="W23" s="10">
        <v>0.28571400000000002</v>
      </c>
    </row>
    <row r="24" spans="1:23" x14ac:dyDescent="0.15">
      <c r="A24" s="10">
        <v>1</v>
      </c>
      <c r="B24" s="10">
        <v>-24.286899999999999</v>
      </c>
      <c r="C24" s="10">
        <v>0</v>
      </c>
      <c r="D24" s="10">
        <v>0</v>
      </c>
      <c r="E24" s="10">
        <v>0</v>
      </c>
      <c r="F24" s="10">
        <v>1</v>
      </c>
      <c r="G24" s="10">
        <v>-5.7655399999999998E-8</v>
      </c>
      <c r="H24" s="10">
        <v>0</v>
      </c>
      <c r="I24" s="10">
        <v>0</v>
      </c>
      <c r="J24" s="10">
        <v>-3.0323800000000003E-8</v>
      </c>
      <c r="K24" s="10">
        <v>0</v>
      </c>
      <c r="L24" s="10">
        <v>0</v>
      </c>
      <c r="M24" s="10">
        <v>-16.032</v>
      </c>
      <c r="N24" s="10">
        <v>0</v>
      </c>
      <c r="O24" s="10">
        <v>0</v>
      </c>
      <c r="P24" s="10">
        <v>-16.032</v>
      </c>
      <c r="Q24" s="10">
        <v>0</v>
      </c>
      <c r="R24" s="10">
        <v>0</v>
      </c>
      <c r="S24" s="10">
        <v>1</v>
      </c>
      <c r="T24" s="10">
        <v>22</v>
      </c>
      <c r="U24" s="10">
        <v>0</v>
      </c>
      <c r="V24" s="10">
        <v>0.28571400000000002</v>
      </c>
      <c r="W24" s="10">
        <v>0.28571400000000002</v>
      </c>
    </row>
    <row r="25" spans="1:23" x14ac:dyDescent="0.15">
      <c r="A25" s="10">
        <v>1</v>
      </c>
      <c r="B25" s="10">
        <v>-24.2972</v>
      </c>
      <c r="C25" s="10">
        <v>0</v>
      </c>
      <c r="D25" s="10">
        <v>0</v>
      </c>
      <c r="E25" s="10">
        <v>0</v>
      </c>
      <c r="F25" s="10">
        <v>1</v>
      </c>
      <c r="G25" s="10">
        <v>-5.0814199999999999E-8</v>
      </c>
      <c r="H25" s="10">
        <v>0</v>
      </c>
      <c r="I25" s="10">
        <v>0</v>
      </c>
      <c r="J25" s="10">
        <v>-2.2547200000000001E-8</v>
      </c>
      <c r="K25" s="10">
        <v>0</v>
      </c>
      <c r="L25" s="10">
        <v>0</v>
      </c>
      <c r="M25" s="10">
        <v>-15.886699999999999</v>
      </c>
      <c r="N25" s="10">
        <v>0</v>
      </c>
      <c r="O25" s="10">
        <v>0</v>
      </c>
      <c r="P25" s="10">
        <v>-15.886699999999999</v>
      </c>
      <c r="Q25" s="10">
        <v>0</v>
      </c>
      <c r="R25" s="10">
        <v>0</v>
      </c>
      <c r="S25" s="10">
        <v>1</v>
      </c>
      <c r="T25" s="10">
        <v>23</v>
      </c>
      <c r="U25" s="10">
        <v>0</v>
      </c>
      <c r="V25" s="10">
        <v>0.28571400000000002</v>
      </c>
      <c r="W25" s="10">
        <v>0.28571400000000002</v>
      </c>
    </row>
    <row r="26" spans="1:23" x14ac:dyDescent="0.15">
      <c r="A26" s="10">
        <v>1</v>
      </c>
      <c r="B26" s="10">
        <v>-24.3215</v>
      </c>
      <c r="C26" s="10">
        <v>-1.08802E-14</v>
      </c>
      <c r="D26" s="10">
        <v>-1.08802E-14</v>
      </c>
      <c r="E26" s="10">
        <v>0</v>
      </c>
      <c r="F26" s="10">
        <v>1</v>
      </c>
      <c r="G26" s="10">
        <v>-4.5042500000000001E-8</v>
      </c>
      <c r="H26" s="10">
        <v>0</v>
      </c>
      <c r="I26" s="10">
        <v>0</v>
      </c>
      <c r="J26" s="10">
        <v>-1.7220000000000001E-8</v>
      </c>
      <c r="K26" s="10">
        <v>0</v>
      </c>
      <c r="L26" s="10">
        <v>0</v>
      </c>
      <c r="M26" s="10">
        <v>-15.8104</v>
      </c>
      <c r="N26" s="10">
        <v>-2.44152E-11</v>
      </c>
      <c r="O26" s="10">
        <v>-2.44152E-11</v>
      </c>
      <c r="P26" s="10">
        <v>-15.8104</v>
      </c>
      <c r="Q26" s="10">
        <v>-2.44152E-11</v>
      </c>
      <c r="R26" s="10">
        <v>-2.44152E-11</v>
      </c>
      <c r="S26" s="10">
        <v>1</v>
      </c>
      <c r="T26" s="10">
        <v>24</v>
      </c>
      <c r="U26" s="10">
        <v>0</v>
      </c>
      <c r="V26" s="10">
        <v>0.28571400000000002</v>
      </c>
      <c r="W26" s="10">
        <v>0.28571400000000002</v>
      </c>
    </row>
    <row r="27" spans="1:23" x14ac:dyDescent="0.15">
      <c r="A27" s="10">
        <v>1</v>
      </c>
      <c r="B27" s="10">
        <v>-24.361499999999999</v>
      </c>
      <c r="C27" s="10">
        <v>0</v>
      </c>
      <c r="D27" s="10">
        <v>0</v>
      </c>
      <c r="E27" s="10">
        <v>0</v>
      </c>
      <c r="F27" s="10">
        <v>1</v>
      </c>
      <c r="G27" s="10">
        <v>-4.0213100000000003E-8</v>
      </c>
      <c r="H27" s="10">
        <v>0</v>
      </c>
      <c r="I27" s="10">
        <v>0</v>
      </c>
      <c r="J27" s="10">
        <v>-1.34315E-8</v>
      </c>
      <c r="K27" s="10">
        <v>0</v>
      </c>
      <c r="L27" s="10">
        <v>0</v>
      </c>
      <c r="M27" s="10">
        <v>-15.7789</v>
      </c>
      <c r="N27" s="10">
        <v>0</v>
      </c>
      <c r="O27" s="10">
        <v>0</v>
      </c>
      <c r="P27" s="10">
        <v>-15.7789</v>
      </c>
      <c r="Q27" s="10">
        <v>0</v>
      </c>
      <c r="R27" s="10">
        <v>0</v>
      </c>
      <c r="S27" s="10">
        <v>1</v>
      </c>
      <c r="T27" s="10">
        <v>25</v>
      </c>
      <c r="U27" s="10">
        <v>0</v>
      </c>
      <c r="V27" s="10">
        <v>0.28571400000000002</v>
      </c>
      <c r="W27" s="10">
        <v>0.28571400000000002</v>
      </c>
    </row>
    <row r="28" spans="1:23" x14ac:dyDescent="0.15">
      <c r="A28" s="10">
        <v>1</v>
      </c>
      <c r="B28" s="10">
        <v>-24.415600000000001</v>
      </c>
      <c r="C28" s="10">
        <v>-1.08802E-14</v>
      </c>
      <c r="D28" s="10">
        <v>-1.08802E-14</v>
      </c>
      <c r="E28" s="10">
        <v>0</v>
      </c>
      <c r="F28" s="10">
        <v>1</v>
      </c>
      <c r="G28" s="10">
        <v>-3.6158599999999998E-8</v>
      </c>
      <c r="H28" s="10">
        <v>0</v>
      </c>
      <c r="I28" s="10">
        <v>0</v>
      </c>
      <c r="J28" s="10">
        <v>-1.06486E-8</v>
      </c>
      <c r="K28" s="10">
        <v>0</v>
      </c>
      <c r="L28" s="10">
        <v>0</v>
      </c>
      <c r="M28" s="10">
        <v>-15.7773</v>
      </c>
      <c r="N28" s="10">
        <v>0</v>
      </c>
      <c r="O28" s="10">
        <v>0</v>
      </c>
      <c r="P28" s="10">
        <v>-15.7773</v>
      </c>
      <c r="Q28" s="10">
        <v>0</v>
      </c>
      <c r="R28" s="10">
        <v>0</v>
      </c>
      <c r="S28" s="10">
        <v>1</v>
      </c>
      <c r="T28" s="10">
        <v>26</v>
      </c>
      <c r="U28" s="10">
        <v>0</v>
      </c>
      <c r="V28" s="10">
        <v>0.28571400000000002</v>
      </c>
      <c r="W28" s="10">
        <v>0.28571400000000002</v>
      </c>
    </row>
    <row r="29" spans="1:23" x14ac:dyDescent="0.15">
      <c r="A29" s="10">
        <v>1</v>
      </c>
      <c r="B29" s="10">
        <v>-24.4817</v>
      </c>
      <c r="C29" s="10">
        <v>0</v>
      </c>
      <c r="D29" s="10">
        <v>0</v>
      </c>
      <c r="E29" s="10">
        <v>0</v>
      </c>
      <c r="F29" s="10">
        <v>1</v>
      </c>
      <c r="G29" s="10">
        <v>-3.2728699999999998E-8</v>
      </c>
      <c r="H29" s="10">
        <v>0</v>
      </c>
      <c r="I29" s="10">
        <v>0</v>
      </c>
      <c r="J29" s="10">
        <v>-8.5467500000000001E-9</v>
      </c>
      <c r="K29" s="10">
        <v>0</v>
      </c>
      <c r="L29" s="10">
        <v>0</v>
      </c>
      <c r="M29" s="10">
        <v>-15.7965</v>
      </c>
      <c r="N29" s="10">
        <v>0</v>
      </c>
      <c r="O29" s="10">
        <v>0</v>
      </c>
      <c r="P29" s="10">
        <v>-15.7965</v>
      </c>
      <c r="Q29" s="10">
        <v>0</v>
      </c>
      <c r="R29" s="10">
        <v>0</v>
      </c>
      <c r="S29" s="10">
        <v>1</v>
      </c>
      <c r="T29" s="10">
        <v>27</v>
      </c>
      <c r="U29" s="10">
        <v>0</v>
      </c>
      <c r="V29" s="10">
        <v>0.28571400000000002</v>
      </c>
      <c r="W29" s="10">
        <v>0.28571400000000002</v>
      </c>
    </row>
    <row r="30" spans="1:23" x14ac:dyDescent="0.15">
      <c r="A30" s="10">
        <v>1</v>
      </c>
      <c r="B30" s="10">
        <v>-24.557600000000001</v>
      </c>
      <c r="C30" s="10">
        <v>0</v>
      </c>
      <c r="D30" s="10">
        <v>0</v>
      </c>
      <c r="E30" s="10">
        <v>0</v>
      </c>
      <c r="F30" s="10">
        <v>1</v>
      </c>
      <c r="G30" s="10">
        <v>-2.9801099999999999E-8</v>
      </c>
      <c r="H30" s="10">
        <v>0</v>
      </c>
      <c r="I30" s="10">
        <v>0</v>
      </c>
      <c r="J30" s="10">
        <v>-6.9213500000000003E-9</v>
      </c>
      <c r="K30" s="10">
        <v>0</v>
      </c>
      <c r="L30" s="10">
        <v>0</v>
      </c>
      <c r="M30" s="10">
        <v>-15.830399999999999</v>
      </c>
      <c r="N30" s="10">
        <v>0</v>
      </c>
      <c r="O30" s="10">
        <v>0</v>
      </c>
      <c r="P30" s="10">
        <v>-15.830399999999999</v>
      </c>
      <c r="Q30" s="10">
        <v>0</v>
      </c>
      <c r="R30" s="10">
        <v>0</v>
      </c>
      <c r="S30" s="10">
        <v>1</v>
      </c>
      <c r="T30" s="10">
        <v>28</v>
      </c>
      <c r="U30" s="10">
        <v>0</v>
      </c>
      <c r="V30" s="10">
        <v>0.28571400000000002</v>
      </c>
      <c r="W30" s="10">
        <v>0.28571400000000002</v>
      </c>
    </row>
    <row r="31" spans="1:23" x14ac:dyDescent="0.15">
      <c r="A31" s="10">
        <v>1</v>
      </c>
      <c r="B31" s="10">
        <v>-24.6418</v>
      </c>
      <c r="C31" s="10">
        <v>0</v>
      </c>
      <c r="D31" s="10">
        <v>0</v>
      </c>
      <c r="E31" s="10">
        <v>0</v>
      </c>
      <c r="F31" s="10">
        <v>1</v>
      </c>
      <c r="G31" s="10">
        <v>-2.7279600000000002E-8</v>
      </c>
      <c r="H31" s="10">
        <v>0</v>
      </c>
      <c r="I31" s="10">
        <v>0</v>
      </c>
      <c r="J31" s="10">
        <v>-5.6386300000000004E-9</v>
      </c>
      <c r="K31" s="10">
        <v>0</v>
      </c>
      <c r="L31" s="10">
        <v>0</v>
      </c>
      <c r="M31" s="10">
        <v>-15.8749</v>
      </c>
      <c r="N31" s="10">
        <v>-2.5154999999999999E-11</v>
      </c>
      <c r="O31" s="10">
        <v>-2.5154999999999999E-11</v>
      </c>
      <c r="P31" s="10">
        <v>-15.8749</v>
      </c>
      <c r="Q31" s="10">
        <v>-2.5154999999999999E-11</v>
      </c>
      <c r="R31" s="10">
        <v>-2.5154999999999999E-11</v>
      </c>
      <c r="S31" s="10">
        <v>1</v>
      </c>
      <c r="T31" s="10">
        <v>29</v>
      </c>
      <c r="U31" s="10">
        <v>0</v>
      </c>
      <c r="V31" s="10">
        <v>0.28571400000000002</v>
      </c>
      <c r="W31" s="10">
        <v>0.28571400000000002</v>
      </c>
    </row>
    <row r="32" spans="1:23" x14ac:dyDescent="0.15">
      <c r="A32" s="10">
        <v>1</v>
      </c>
      <c r="B32" s="10">
        <v>-24.732700000000001</v>
      </c>
      <c r="C32" s="10">
        <v>0</v>
      </c>
      <c r="D32" s="10">
        <v>0</v>
      </c>
      <c r="E32" s="10">
        <v>0</v>
      </c>
      <c r="F32" s="10">
        <v>1</v>
      </c>
      <c r="G32" s="10">
        <v>-2.5088899999999998E-8</v>
      </c>
      <c r="H32" s="10">
        <v>0</v>
      </c>
      <c r="I32" s="10">
        <v>0</v>
      </c>
      <c r="J32" s="10">
        <v>-4.6084500000000001E-9</v>
      </c>
      <c r="K32" s="10">
        <v>0</v>
      </c>
      <c r="L32" s="10">
        <v>0</v>
      </c>
      <c r="M32" s="10">
        <v>-15.927300000000001</v>
      </c>
      <c r="N32" s="10">
        <v>0</v>
      </c>
      <c r="O32" s="10">
        <v>0</v>
      </c>
      <c r="P32" s="10">
        <v>-15.927300000000001</v>
      </c>
      <c r="Q32" s="10">
        <v>0</v>
      </c>
      <c r="R32" s="10">
        <v>0</v>
      </c>
      <c r="S32" s="10">
        <v>1</v>
      </c>
      <c r="T32" s="10">
        <v>30</v>
      </c>
      <c r="U32" s="10">
        <v>0</v>
      </c>
      <c r="V32" s="10">
        <v>0.28571400000000002</v>
      </c>
      <c r="W32" s="10">
        <v>0.28571400000000002</v>
      </c>
    </row>
    <row r="33" spans="1:23" x14ac:dyDescent="0.15">
      <c r="A33" s="10">
        <v>1</v>
      </c>
      <c r="B33" s="10">
        <v>-24.8291</v>
      </c>
      <c r="C33" s="10">
        <v>0</v>
      </c>
      <c r="D33" s="10">
        <v>0</v>
      </c>
      <c r="E33" s="10">
        <v>0</v>
      </c>
      <c r="F33" s="10">
        <v>1</v>
      </c>
      <c r="G33" s="10">
        <v>-2.3170199999999999E-8</v>
      </c>
      <c r="H33" s="10">
        <v>0</v>
      </c>
      <c r="I33" s="10">
        <v>0</v>
      </c>
      <c r="J33" s="10">
        <v>-3.7684000000000003E-9</v>
      </c>
      <c r="K33" s="10">
        <v>0</v>
      </c>
      <c r="L33" s="10">
        <v>0</v>
      </c>
      <c r="M33" s="10">
        <v>-15.9856</v>
      </c>
      <c r="N33" s="10">
        <v>0</v>
      </c>
      <c r="O33" s="10">
        <v>0</v>
      </c>
      <c r="P33" s="10">
        <v>-15.9856</v>
      </c>
      <c r="Q33" s="10">
        <v>0</v>
      </c>
      <c r="R33" s="10">
        <v>0</v>
      </c>
      <c r="S33" s="10">
        <v>1</v>
      </c>
      <c r="T33" s="10">
        <v>31</v>
      </c>
      <c r="U33" s="10">
        <v>0</v>
      </c>
      <c r="V33" s="10">
        <v>0.28571400000000002</v>
      </c>
      <c r="W33" s="10">
        <v>0.28571400000000002</v>
      </c>
    </row>
    <row r="34" spans="1:23" x14ac:dyDescent="0.15">
      <c r="A34" s="10">
        <v>1</v>
      </c>
      <c r="B34" s="10">
        <v>-24.930099999999999</v>
      </c>
      <c r="C34" s="10">
        <v>-1.08802E-14</v>
      </c>
      <c r="D34" s="10">
        <v>-1.08802E-14</v>
      </c>
      <c r="E34" s="10">
        <v>0</v>
      </c>
      <c r="F34" s="10">
        <v>1</v>
      </c>
      <c r="G34" s="10">
        <v>-2.14771E-8</v>
      </c>
      <c r="H34" s="10">
        <v>0</v>
      </c>
      <c r="I34" s="10">
        <v>0</v>
      </c>
      <c r="J34" s="10">
        <v>-3.0742099999999999E-9</v>
      </c>
      <c r="K34" s="10">
        <v>0</v>
      </c>
      <c r="L34" s="10">
        <v>0</v>
      </c>
      <c r="M34" s="10">
        <v>-16.048300000000001</v>
      </c>
      <c r="N34" s="10">
        <v>0</v>
      </c>
      <c r="O34" s="10">
        <v>0</v>
      </c>
      <c r="P34" s="10">
        <v>-16.048300000000001</v>
      </c>
      <c r="Q34" s="10">
        <v>0</v>
      </c>
      <c r="R34" s="10">
        <v>0</v>
      </c>
      <c r="S34" s="10">
        <v>1</v>
      </c>
      <c r="T34" s="10">
        <v>32</v>
      </c>
      <c r="U34" s="10">
        <v>0</v>
      </c>
      <c r="V34" s="10">
        <v>0.28571400000000002</v>
      </c>
      <c r="W34" s="10">
        <v>0.28571400000000002</v>
      </c>
    </row>
    <row r="35" spans="1:23" x14ac:dyDescent="0.15">
      <c r="A35" s="10">
        <v>1</v>
      </c>
      <c r="B35" s="10">
        <v>-25.0349</v>
      </c>
      <c r="C35" s="10">
        <v>-5.4400899999999996E-15</v>
      </c>
      <c r="D35" s="10">
        <v>-5.4400899999999996E-15</v>
      </c>
      <c r="E35" s="10">
        <v>0</v>
      </c>
      <c r="F35" s="10">
        <v>1</v>
      </c>
      <c r="G35" s="10">
        <v>-1.9972900000000001E-8</v>
      </c>
      <c r="H35" s="10">
        <v>0</v>
      </c>
      <c r="I35" s="10">
        <v>0</v>
      </c>
      <c r="J35" s="10">
        <v>-2.4937700000000002E-9</v>
      </c>
      <c r="K35" s="10">
        <v>0</v>
      </c>
      <c r="L35" s="10">
        <v>0</v>
      </c>
      <c r="M35" s="10">
        <v>-16.1144</v>
      </c>
      <c r="N35" s="10">
        <v>0</v>
      </c>
      <c r="O35" s="10">
        <v>0</v>
      </c>
      <c r="P35" s="10">
        <v>-16.1144</v>
      </c>
      <c r="Q35" s="10">
        <v>0</v>
      </c>
      <c r="R35" s="10">
        <v>0</v>
      </c>
      <c r="S35" s="10">
        <v>1</v>
      </c>
      <c r="T35" s="10">
        <v>33</v>
      </c>
      <c r="U35" s="10">
        <v>0</v>
      </c>
      <c r="V35" s="10">
        <v>0.28571400000000002</v>
      </c>
      <c r="W35" s="10">
        <v>0.28571400000000002</v>
      </c>
    </row>
    <row r="36" spans="1:23" x14ac:dyDescent="0.15">
      <c r="A36" s="10">
        <v>1</v>
      </c>
      <c r="B36" s="10">
        <v>-25.142900000000001</v>
      </c>
      <c r="C36" s="10">
        <v>5.2154099999999997E-8</v>
      </c>
      <c r="D36" s="10">
        <v>5.2154099999999997E-8</v>
      </c>
      <c r="E36" s="10">
        <v>0</v>
      </c>
      <c r="F36" s="10">
        <v>1</v>
      </c>
      <c r="G36" s="10">
        <v>-1.8628200000000001E-8</v>
      </c>
      <c r="H36" s="10">
        <v>0</v>
      </c>
      <c r="I36" s="10">
        <v>0</v>
      </c>
      <c r="J36" s="10">
        <v>-2.0033500000000001E-9</v>
      </c>
      <c r="K36" s="10">
        <v>0</v>
      </c>
      <c r="L36" s="10">
        <v>0</v>
      </c>
      <c r="M36" s="10">
        <v>-16.1831</v>
      </c>
      <c r="N36" s="10">
        <v>0</v>
      </c>
      <c r="O36" s="10">
        <v>0</v>
      </c>
      <c r="P36" s="10">
        <v>-16.1831</v>
      </c>
      <c r="Q36" s="10">
        <v>0</v>
      </c>
      <c r="R36" s="10">
        <v>0</v>
      </c>
      <c r="S36" s="10">
        <v>1</v>
      </c>
      <c r="T36" s="10">
        <v>34</v>
      </c>
      <c r="U36" s="10">
        <v>0</v>
      </c>
      <c r="V36" s="10">
        <v>0.28571400000000002</v>
      </c>
      <c r="W36" s="10">
        <v>0.28571400000000002</v>
      </c>
    </row>
    <row r="37" spans="1:23" x14ac:dyDescent="0.15">
      <c r="A37" s="10">
        <v>1</v>
      </c>
      <c r="B37" s="10">
        <v>-25.253499999999999</v>
      </c>
      <c r="C37" s="10">
        <v>-5.4400899999999996E-15</v>
      </c>
      <c r="D37" s="10">
        <v>-5.4400899999999996E-15</v>
      </c>
      <c r="E37" s="10">
        <v>0</v>
      </c>
      <c r="F37" s="10">
        <v>1</v>
      </c>
      <c r="G37" s="10">
        <v>-1.7418999999999999E-8</v>
      </c>
      <c r="H37" s="10">
        <v>0</v>
      </c>
      <c r="I37" s="10">
        <v>0</v>
      </c>
      <c r="J37" s="10">
        <v>-1.58512E-9</v>
      </c>
      <c r="K37" s="10">
        <v>0</v>
      </c>
      <c r="L37" s="10">
        <v>0</v>
      </c>
      <c r="M37" s="10">
        <v>-16.253699999999998</v>
      </c>
      <c r="N37" s="10">
        <v>0</v>
      </c>
      <c r="O37" s="10">
        <v>0</v>
      </c>
      <c r="P37" s="10">
        <v>-16.253699999999998</v>
      </c>
      <c r="Q37" s="10">
        <v>0</v>
      </c>
      <c r="R37" s="10">
        <v>0</v>
      </c>
      <c r="S37" s="10">
        <v>1</v>
      </c>
      <c r="T37" s="10">
        <v>35</v>
      </c>
      <c r="U37" s="10">
        <v>0</v>
      </c>
      <c r="V37" s="10">
        <v>0.28571400000000002</v>
      </c>
      <c r="W37" s="10">
        <v>0.28571400000000002</v>
      </c>
    </row>
    <row r="38" spans="1:23" x14ac:dyDescent="0.15">
      <c r="A38" s="10">
        <v>1</v>
      </c>
      <c r="B38" s="10">
        <v>-25.366499999999998</v>
      </c>
      <c r="C38" s="10">
        <v>-5.4400899999999996E-15</v>
      </c>
      <c r="D38" s="10">
        <v>-5.4400899999999996E-15</v>
      </c>
      <c r="E38" s="10">
        <v>0</v>
      </c>
      <c r="F38" s="10">
        <v>1</v>
      </c>
      <c r="G38" s="10">
        <v>-1.6325900000000001E-8</v>
      </c>
      <c r="H38" s="10">
        <v>0</v>
      </c>
      <c r="I38" s="10">
        <v>0</v>
      </c>
      <c r="J38" s="10">
        <v>-1.22546E-9</v>
      </c>
      <c r="K38" s="10">
        <v>0</v>
      </c>
      <c r="L38" s="10">
        <v>0</v>
      </c>
      <c r="M38" s="10">
        <v>-16.325600000000001</v>
      </c>
      <c r="N38" s="10">
        <v>0</v>
      </c>
      <c r="O38" s="10">
        <v>0</v>
      </c>
      <c r="P38" s="10">
        <v>-16.325600000000001</v>
      </c>
      <c r="Q38" s="10">
        <v>0</v>
      </c>
      <c r="R38" s="10">
        <v>0</v>
      </c>
      <c r="S38" s="10">
        <v>1</v>
      </c>
      <c r="T38" s="10">
        <v>36</v>
      </c>
      <c r="U38" s="10">
        <v>0</v>
      </c>
      <c r="V38" s="10">
        <v>0.28571400000000002</v>
      </c>
      <c r="W38" s="10">
        <v>0.28571400000000002</v>
      </c>
    </row>
    <row r="39" spans="1:23" x14ac:dyDescent="0.15">
      <c r="A39" s="10">
        <v>1</v>
      </c>
      <c r="B39" s="10">
        <v>-25.481300000000001</v>
      </c>
      <c r="C39" s="10">
        <v>5.2154099999999997E-8</v>
      </c>
      <c r="D39" s="10">
        <v>5.2154099999999997E-8</v>
      </c>
      <c r="E39" s="10">
        <v>0</v>
      </c>
      <c r="F39" s="10">
        <v>1</v>
      </c>
      <c r="G39" s="10">
        <v>-1.5332999999999999E-8</v>
      </c>
      <c r="H39" s="10">
        <v>0</v>
      </c>
      <c r="I39" s="10">
        <v>0</v>
      </c>
      <c r="J39" s="10">
        <v>-9.1381199999999999E-10</v>
      </c>
      <c r="K39" s="10">
        <v>0</v>
      </c>
      <c r="L39" s="10">
        <v>0</v>
      </c>
      <c r="M39" s="10">
        <v>-16.398700000000002</v>
      </c>
      <c r="N39" s="10">
        <v>0</v>
      </c>
      <c r="O39" s="10">
        <v>0</v>
      </c>
      <c r="P39" s="10">
        <v>-16.398700000000002</v>
      </c>
      <c r="Q39" s="10">
        <v>0</v>
      </c>
      <c r="R39" s="10">
        <v>0</v>
      </c>
      <c r="S39" s="10">
        <v>1</v>
      </c>
      <c r="T39" s="10">
        <v>37</v>
      </c>
      <c r="U39" s="10">
        <v>0</v>
      </c>
      <c r="V39" s="10">
        <v>0.28571400000000002</v>
      </c>
      <c r="W39" s="10">
        <v>0.28571400000000002</v>
      </c>
    </row>
    <row r="40" spans="1:23" x14ac:dyDescent="0.15">
      <c r="A40" s="10">
        <v>1</v>
      </c>
      <c r="B40" s="10">
        <v>-25.5976</v>
      </c>
      <c r="C40" s="10">
        <v>-5.4400899999999996E-15</v>
      </c>
      <c r="D40" s="10">
        <v>-5.4400899999999996E-15</v>
      </c>
      <c r="E40" s="10">
        <v>0</v>
      </c>
      <c r="F40" s="10">
        <v>1</v>
      </c>
      <c r="G40" s="10">
        <v>-1.44269E-8</v>
      </c>
      <c r="H40" s="10">
        <v>0</v>
      </c>
      <c r="I40" s="10">
        <v>0</v>
      </c>
      <c r="J40" s="10">
        <v>-6.41909E-10</v>
      </c>
      <c r="K40" s="10">
        <v>0</v>
      </c>
      <c r="L40" s="10">
        <v>0</v>
      </c>
      <c r="M40" s="10">
        <v>-16.4724</v>
      </c>
      <c r="N40" s="10">
        <v>0</v>
      </c>
      <c r="O40" s="10">
        <v>0</v>
      </c>
      <c r="P40" s="10">
        <v>-16.4724</v>
      </c>
      <c r="Q40" s="10">
        <v>0</v>
      </c>
      <c r="R40" s="10">
        <v>0</v>
      </c>
      <c r="S40" s="10">
        <v>1</v>
      </c>
      <c r="T40" s="10">
        <v>38</v>
      </c>
      <c r="U40" s="10">
        <v>0</v>
      </c>
      <c r="V40" s="10">
        <v>0.28571400000000002</v>
      </c>
      <c r="W40" s="10">
        <v>0.28571400000000002</v>
      </c>
    </row>
    <row r="41" spans="1:23" x14ac:dyDescent="0.15">
      <c r="A41" s="10">
        <v>1</v>
      </c>
      <c r="B41" s="10">
        <v>-25.715399999999999</v>
      </c>
      <c r="C41" s="10">
        <v>-5.4400899999999996E-15</v>
      </c>
      <c r="D41" s="10">
        <v>-5.4400899999999996E-15</v>
      </c>
      <c r="E41" s="10">
        <v>0</v>
      </c>
      <c r="F41" s="10">
        <v>1</v>
      </c>
      <c r="G41" s="10">
        <v>-1.35968E-8</v>
      </c>
      <c r="H41" s="10">
        <v>0</v>
      </c>
      <c r="I41" s="10">
        <v>0</v>
      </c>
      <c r="J41" s="10">
        <v>-4.0319099999999999E-10</v>
      </c>
      <c r="K41" s="10">
        <v>0</v>
      </c>
      <c r="L41" s="10">
        <v>0</v>
      </c>
      <c r="M41" s="10">
        <v>-16.546600000000002</v>
      </c>
      <c r="N41" s="10">
        <v>0</v>
      </c>
      <c r="O41" s="10">
        <v>0</v>
      </c>
      <c r="P41" s="10">
        <v>-16.546600000000002</v>
      </c>
      <c r="Q41" s="10">
        <v>0</v>
      </c>
      <c r="R41" s="10">
        <v>0</v>
      </c>
      <c r="S41" s="10">
        <v>1</v>
      </c>
      <c r="T41" s="10">
        <v>39</v>
      </c>
      <c r="U41" s="10">
        <v>0</v>
      </c>
      <c r="V41" s="10">
        <v>0.28571400000000002</v>
      </c>
      <c r="W41" s="10">
        <v>0.28571400000000002</v>
      </c>
    </row>
    <row r="42" spans="1:23" x14ac:dyDescent="0.15">
      <c r="A42" s="10">
        <v>1</v>
      </c>
      <c r="B42" s="10">
        <v>-25.834199999999999</v>
      </c>
      <c r="C42" s="10">
        <v>-5.4400899999999996E-15</v>
      </c>
      <c r="D42" s="10">
        <v>-5.4400899999999996E-15</v>
      </c>
      <c r="E42" s="10">
        <v>0</v>
      </c>
      <c r="F42" s="10">
        <v>1</v>
      </c>
      <c r="G42" s="10">
        <v>-1.28331E-8</v>
      </c>
      <c r="H42" s="10">
        <v>0</v>
      </c>
      <c r="I42" s="10">
        <v>0</v>
      </c>
      <c r="J42" s="10">
        <v>-1.9239800000000001E-10</v>
      </c>
      <c r="K42" s="10">
        <v>0</v>
      </c>
      <c r="L42" s="10">
        <v>0</v>
      </c>
      <c r="M42" s="10">
        <v>-16.621099999999998</v>
      </c>
      <c r="N42" s="10">
        <v>0</v>
      </c>
      <c r="O42" s="10">
        <v>0</v>
      </c>
      <c r="P42" s="10">
        <v>-16.621099999999998</v>
      </c>
      <c r="Q42" s="10">
        <v>0</v>
      </c>
      <c r="R42" s="10">
        <v>0</v>
      </c>
      <c r="S42" s="10">
        <v>1</v>
      </c>
      <c r="T42" s="10">
        <v>40</v>
      </c>
      <c r="U42" s="10">
        <v>0</v>
      </c>
      <c r="V42" s="10">
        <v>0.28571400000000002</v>
      </c>
      <c r="W42" s="10">
        <v>0.28571400000000002</v>
      </c>
    </row>
    <row r="43" spans="1:23" x14ac:dyDescent="0.15">
      <c r="A43" s="10">
        <v>1</v>
      </c>
      <c r="B43" s="10">
        <v>-25.953900000000001</v>
      </c>
      <c r="C43" s="10">
        <v>-5.4400899999999996E-15</v>
      </c>
      <c r="D43" s="10">
        <v>-5.4400899999999996E-15</v>
      </c>
      <c r="E43" s="10">
        <v>0</v>
      </c>
      <c r="F43" s="10">
        <v>1</v>
      </c>
      <c r="G43" s="10">
        <v>-1.21281E-8</v>
      </c>
      <c r="H43" s="10">
        <v>0</v>
      </c>
      <c r="I43" s="10">
        <v>0</v>
      </c>
      <c r="J43" s="10">
        <v>-5.2739300000000003E-12</v>
      </c>
      <c r="K43" s="10">
        <v>0</v>
      </c>
      <c r="L43" s="10">
        <v>0</v>
      </c>
      <c r="M43" s="10">
        <v>-16.695599999999999</v>
      </c>
      <c r="N43" s="10">
        <v>0</v>
      </c>
      <c r="O43" s="10">
        <v>0</v>
      </c>
      <c r="P43" s="10">
        <v>-16.695599999999999</v>
      </c>
      <c r="Q43" s="10">
        <v>0</v>
      </c>
      <c r="R43" s="10">
        <v>0</v>
      </c>
      <c r="S43" s="10">
        <v>1</v>
      </c>
      <c r="T43" s="10">
        <v>41</v>
      </c>
      <c r="U43" s="10">
        <v>0</v>
      </c>
      <c r="V43" s="10">
        <v>0.28571400000000002</v>
      </c>
      <c r="W43" s="10">
        <v>0.28571400000000002</v>
      </c>
    </row>
    <row r="44" spans="1:23" x14ac:dyDescent="0.15">
      <c r="A44" s="10">
        <v>1</v>
      </c>
      <c r="B44" s="10">
        <v>-26.0745</v>
      </c>
      <c r="C44" s="10">
        <v>-5.4400899999999996E-15</v>
      </c>
      <c r="D44" s="10">
        <v>-5.4400899999999996E-15</v>
      </c>
      <c r="E44" s="10">
        <v>0</v>
      </c>
      <c r="F44" s="10">
        <v>1</v>
      </c>
      <c r="G44" s="10">
        <v>-1.1475E-8</v>
      </c>
      <c r="H44" s="10">
        <v>0</v>
      </c>
      <c r="I44" s="10">
        <v>0</v>
      </c>
      <c r="J44" s="10">
        <v>1.6165600000000001E-10</v>
      </c>
      <c r="K44" s="10">
        <v>0</v>
      </c>
      <c r="L44" s="10">
        <v>0</v>
      </c>
      <c r="M44" s="10">
        <v>-16.770099999999999</v>
      </c>
      <c r="N44" s="10">
        <v>0</v>
      </c>
      <c r="O44" s="10">
        <v>0</v>
      </c>
      <c r="P44" s="10">
        <v>-16.770099999999999</v>
      </c>
      <c r="Q44" s="10">
        <v>0</v>
      </c>
      <c r="R44" s="10">
        <v>0</v>
      </c>
      <c r="S44" s="10">
        <v>1</v>
      </c>
      <c r="T44" s="10">
        <v>42</v>
      </c>
      <c r="U44" s="10">
        <v>0</v>
      </c>
      <c r="V44" s="10">
        <v>0.28571400000000002</v>
      </c>
      <c r="W44" s="10">
        <v>0.28571400000000002</v>
      </c>
    </row>
    <row r="45" spans="1:23" x14ac:dyDescent="0.15">
      <c r="A45" s="10">
        <v>1</v>
      </c>
      <c r="B45" s="10">
        <v>-26.195599999999999</v>
      </c>
      <c r="C45" s="10">
        <v>2.6076999999999999E-8</v>
      </c>
      <c r="D45" s="10">
        <v>2.6076999999999999E-8</v>
      </c>
      <c r="E45" s="10">
        <v>0</v>
      </c>
      <c r="F45" s="10">
        <v>1</v>
      </c>
      <c r="G45" s="10">
        <v>-1.0868E-8</v>
      </c>
      <c r="H45" s="10">
        <v>0</v>
      </c>
      <c r="I45" s="10">
        <v>0</v>
      </c>
      <c r="J45" s="10">
        <v>3.1124899999999998E-10</v>
      </c>
      <c r="K45" s="10">
        <v>0</v>
      </c>
      <c r="L45" s="10">
        <v>0</v>
      </c>
      <c r="M45" s="10">
        <v>-16.8444</v>
      </c>
      <c r="N45" s="10">
        <v>0</v>
      </c>
      <c r="O45" s="10">
        <v>0</v>
      </c>
      <c r="P45" s="10">
        <v>-16.8444</v>
      </c>
      <c r="Q45" s="10">
        <v>0</v>
      </c>
      <c r="R45" s="10">
        <v>0</v>
      </c>
      <c r="S45" s="10">
        <v>1</v>
      </c>
      <c r="T45" s="10">
        <v>43</v>
      </c>
      <c r="U45" s="10">
        <v>0</v>
      </c>
      <c r="V45" s="10">
        <v>0.28571400000000002</v>
      </c>
      <c r="W45" s="10">
        <v>0.28571400000000002</v>
      </c>
    </row>
    <row r="46" spans="1:23" x14ac:dyDescent="0.15">
      <c r="A46" s="10">
        <v>1</v>
      </c>
      <c r="B46" s="10">
        <v>-26.3172</v>
      </c>
      <c r="C46" s="10">
        <v>2.6076999999999999E-8</v>
      </c>
      <c r="D46" s="10">
        <v>2.6076999999999999E-8</v>
      </c>
      <c r="E46" s="10">
        <v>0</v>
      </c>
      <c r="F46" s="10">
        <v>1</v>
      </c>
      <c r="G46" s="10">
        <v>-1.0302199999999999E-8</v>
      </c>
      <c r="H46" s="10">
        <v>0</v>
      </c>
      <c r="I46" s="10">
        <v>0</v>
      </c>
      <c r="J46" s="10">
        <v>4.4587599999999998E-10</v>
      </c>
      <c r="K46" s="10">
        <v>0</v>
      </c>
      <c r="L46" s="10">
        <v>0</v>
      </c>
      <c r="M46" s="10">
        <v>-16.918299999999999</v>
      </c>
      <c r="N46" s="10">
        <v>0</v>
      </c>
      <c r="O46" s="10">
        <v>0</v>
      </c>
      <c r="P46" s="10">
        <v>-16.918299999999999</v>
      </c>
      <c r="Q46" s="10">
        <v>0</v>
      </c>
      <c r="R46" s="10">
        <v>0</v>
      </c>
      <c r="S46" s="10">
        <v>1</v>
      </c>
      <c r="T46" s="10">
        <v>44</v>
      </c>
      <c r="U46" s="10">
        <v>0</v>
      </c>
      <c r="V46" s="10">
        <v>0.28571400000000002</v>
      </c>
      <c r="W46" s="10">
        <v>0.28571400000000002</v>
      </c>
    </row>
    <row r="47" spans="1:23" x14ac:dyDescent="0.15">
      <c r="A47" s="10">
        <v>1</v>
      </c>
      <c r="B47" s="10">
        <v>-26.439299999999999</v>
      </c>
      <c r="C47" s="10">
        <v>5.2154099999999997E-8</v>
      </c>
      <c r="D47" s="10">
        <v>5.2154099999999997E-8</v>
      </c>
      <c r="E47" s="10">
        <v>0</v>
      </c>
      <c r="F47" s="10">
        <v>1</v>
      </c>
      <c r="G47" s="10">
        <v>-9.7733100000000004E-9</v>
      </c>
      <c r="H47" s="10">
        <v>0</v>
      </c>
      <c r="I47" s="10">
        <v>0</v>
      </c>
      <c r="J47" s="10">
        <v>5.6751399999999997E-10</v>
      </c>
      <c r="K47" s="10">
        <v>0</v>
      </c>
      <c r="L47" s="10">
        <v>0</v>
      </c>
      <c r="M47" s="10">
        <v>-16.991900000000001</v>
      </c>
      <c r="N47" s="10">
        <v>0</v>
      </c>
      <c r="O47" s="10">
        <v>0</v>
      </c>
      <c r="P47" s="10">
        <v>-16.991900000000001</v>
      </c>
      <c r="Q47" s="10">
        <v>0</v>
      </c>
      <c r="R47" s="10">
        <v>0</v>
      </c>
      <c r="S47" s="10">
        <v>1</v>
      </c>
      <c r="T47" s="10">
        <v>45</v>
      </c>
      <c r="U47" s="10">
        <v>0</v>
      </c>
      <c r="V47" s="10">
        <v>0.28571400000000002</v>
      </c>
      <c r="W47" s="10">
        <v>0.28571400000000002</v>
      </c>
    </row>
    <row r="48" spans="1:23" x14ac:dyDescent="0.15">
      <c r="A48" s="10">
        <v>1</v>
      </c>
      <c r="B48" s="10">
        <v>-26.561599999999999</v>
      </c>
      <c r="C48" s="10">
        <v>-5.4400899999999996E-15</v>
      </c>
      <c r="D48" s="10">
        <v>-5.4400899999999996E-15</v>
      </c>
      <c r="E48" s="10">
        <v>0</v>
      </c>
      <c r="F48" s="10">
        <v>1</v>
      </c>
      <c r="G48" s="10">
        <v>-9.2774800000000001E-9</v>
      </c>
      <c r="H48" s="10">
        <v>0</v>
      </c>
      <c r="I48" s="10">
        <v>0</v>
      </c>
      <c r="J48" s="10">
        <v>6.7782800000000001E-10</v>
      </c>
      <c r="K48" s="10">
        <v>0</v>
      </c>
      <c r="L48" s="10">
        <v>0</v>
      </c>
      <c r="M48" s="10">
        <v>-17.065000000000001</v>
      </c>
      <c r="N48" s="10">
        <v>0</v>
      </c>
      <c r="O48" s="10">
        <v>0</v>
      </c>
      <c r="P48" s="10">
        <v>-17.065000000000001</v>
      </c>
      <c r="Q48" s="10">
        <v>0</v>
      </c>
      <c r="R48" s="10">
        <v>0</v>
      </c>
      <c r="S48" s="10">
        <v>1</v>
      </c>
      <c r="T48" s="10">
        <v>46</v>
      </c>
      <c r="U48" s="10">
        <v>0</v>
      </c>
      <c r="V48" s="10">
        <v>0.28571400000000002</v>
      </c>
      <c r="W48" s="10">
        <v>0.28571400000000002</v>
      </c>
    </row>
    <row r="49" spans="1:23" x14ac:dyDescent="0.15">
      <c r="A49" s="10">
        <v>1</v>
      </c>
      <c r="B49" s="10">
        <v>-26.684100000000001</v>
      </c>
      <c r="C49" s="10">
        <v>-8.1601400000000001E-15</v>
      </c>
      <c r="D49" s="10">
        <v>-8.1601400000000001E-15</v>
      </c>
      <c r="E49" s="10">
        <v>0</v>
      </c>
      <c r="F49" s="10">
        <v>1</v>
      </c>
      <c r="G49" s="10">
        <v>-8.8114799999999994E-9</v>
      </c>
      <c r="H49" s="10">
        <v>0</v>
      </c>
      <c r="I49" s="10">
        <v>0</v>
      </c>
      <c r="J49" s="10">
        <v>7.7822299999999995E-10</v>
      </c>
      <c r="K49" s="10">
        <v>0</v>
      </c>
      <c r="L49" s="10">
        <v>0</v>
      </c>
      <c r="M49" s="10">
        <v>-17.137599999999999</v>
      </c>
      <c r="N49" s="10">
        <v>0</v>
      </c>
      <c r="O49" s="10">
        <v>0</v>
      </c>
      <c r="P49" s="10">
        <v>-17.137599999999999</v>
      </c>
      <c r="Q49" s="10">
        <v>0</v>
      </c>
      <c r="R49" s="10">
        <v>0</v>
      </c>
      <c r="S49" s="10">
        <v>1</v>
      </c>
      <c r="T49" s="10">
        <v>47</v>
      </c>
      <c r="U49" s="10">
        <v>0</v>
      </c>
      <c r="V49" s="10">
        <v>0.28571400000000002</v>
      </c>
      <c r="W49" s="10">
        <v>0.28571400000000002</v>
      </c>
    </row>
    <row r="50" spans="1:23" x14ac:dyDescent="0.15">
      <c r="A50" s="10">
        <v>1</v>
      </c>
      <c r="B50" s="10">
        <v>-26.806799999999999</v>
      </c>
      <c r="C50" s="10">
        <v>-5.4400899999999996E-15</v>
      </c>
      <c r="D50" s="10">
        <v>-5.4400899999999996E-15</v>
      </c>
      <c r="E50" s="10">
        <v>0</v>
      </c>
      <c r="F50" s="10">
        <v>1</v>
      </c>
      <c r="G50" s="10">
        <v>-8.3723900000000007E-9</v>
      </c>
      <c r="H50" s="10">
        <v>0</v>
      </c>
      <c r="I50" s="10">
        <v>0</v>
      </c>
      <c r="J50" s="10">
        <v>8.6989099999999999E-10</v>
      </c>
      <c r="K50" s="10">
        <v>0</v>
      </c>
      <c r="L50" s="10">
        <v>0</v>
      </c>
      <c r="M50" s="10">
        <v>-17.209499999999998</v>
      </c>
      <c r="N50" s="10">
        <v>0</v>
      </c>
      <c r="O50" s="10">
        <v>0</v>
      </c>
      <c r="P50" s="10">
        <v>-17.209499999999998</v>
      </c>
      <c r="Q50" s="10">
        <v>0</v>
      </c>
      <c r="R50" s="10">
        <v>0</v>
      </c>
      <c r="S50" s="10">
        <v>1</v>
      </c>
      <c r="T50" s="10">
        <v>48</v>
      </c>
      <c r="U50" s="10">
        <v>0</v>
      </c>
      <c r="V50" s="10">
        <v>0.28571400000000002</v>
      </c>
      <c r="W50" s="10">
        <v>0.28571400000000002</v>
      </c>
    </row>
    <row r="51" spans="1:23" x14ac:dyDescent="0.15">
      <c r="A51" s="10">
        <v>1</v>
      </c>
      <c r="B51" s="10">
        <v>-26.929400000000001</v>
      </c>
      <c r="C51" s="10">
        <v>-5.4400899999999996E-15</v>
      </c>
      <c r="D51" s="10">
        <v>-5.4400899999999996E-15</v>
      </c>
      <c r="E51" s="10">
        <v>0</v>
      </c>
      <c r="F51" s="10">
        <v>1</v>
      </c>
      <c r="G51" s="10">
        <v>-7.9576899999999996E-9</v>
      </c>
      <c r="H51" s="10">
        <v>0</v>
      </c>
      <c r="I51" s="10">
        <v>0</v>
      </c>
      <c r="J51" s="10">
        <v>9.538530000000001E-10</v>
      </c>
      <c r="K51" s="10">
        <v>0</v>
      </c>
      <c r="L51" s="10">
        <v>0</v>
      </c>
      <c r="M51" s="10">
        <v>-17.280899999999999</v>
      </c>
      <c r="N51" s="10">
        <v>0</v>
      </c>
      <c r="O51" s="10">
        <v>0</v>
      </c>
      <c r="P51" s="10">
        <v>-17.280899999999999</v>
      </c>
      <c r="Q51" s="10">
        <v>0</v>
      </c>
      <c r="R51" s="10">
        <v>0</v>
      </c>
      <c r="S51" s="10">
        <v>1</v>
      </c>
      <c r="T51" s="10">
        <v>49</v>
      </c>
      <c r="U51" s="10">
        <v>0</v>
      </c>
      <c r="V51" s="10">
        <v>0.28571400000000002</v>
      </c>
      <c r="W51" s="10">
        <v>0.28571400000000002</v>
      </c>
    </row>
    <row r="52" spans="1:23" x14ac:dyDescent="0.15">
      <c r="A52" s="10">
        <v>1</v>
      </c>
      <c r="B52" s="10">
        <v>-27.052099999999999</v>
      </c>
      <c r="C52" s="10">
        <v>-5.4400899999999996E-15</v>
      </c>
      <c r="D52" s="10">
        <v>-5.4400899999999996E-15</v>
      </c>
      <c r="E52" s="10">
        <v>0</v>
      </c>
      <c r="F52" s="10">
        <v>1</v>
      </c>
      <c r="G52" s="10">
        <v>-7.5650900000000008E-9</v>
      </c>
      <c r="H52" s="10">
        <v>0</v>
      </c>
      <c r="I52" s="10">
        <v>0</v>
      </c>
      <c r="J52" s="10">
        <v>1.0309800000000001E-9</v>
      </c>
      <c r="K52" s="10">
        <v>0</v>
      </c>
      <c r="L52" s="10">
        <v>0</v>
      </c>
      <c r="M52" s="10">
        <v>-17.351500000000001</v>
      </c>
      <c r="N52" s="10">
        <v>0</v>
      </c>
      <c r="O52" s="10">
        <v>0</v>
      </c>
      <c r="P52" s="10">
        <v>-17.351500000000001</v>
      </c>
      <c r="Q52" s="10">
        <v>0</v>
      </c>
      <c r="R52" s="10">
        <v>0</v>
      </c>
      <c r="S52" s="10">
        <v>1</v>
      </c>
      <c r="T52" s="10">
        <v>50</v>
      </c>
      <c r="U52" s="10">
        <v>0</v>
      </c>
      <c r="V52" s="10">
        <v>0.28571400000000002</v>
      </c>
      <c r="W52" s="10">
        <v>0.28571400000000002</v>
      </c>
    </row>
    <row r="53" spans="1:23" x14ac:dyDescent="0.15">
      <c r="A53" s="10">
        <v>1</v>
      </c>
      <c r="B53" s="10">
        <v>-27.174700000000001</v>
      </c>
      <c r="C53" s="10">
        <v>-5.4400899999999996E-15</v>
      </c>
      <c r="D53" s="10">
        <v>-5.4400899999999996E-15</v>
      </c>
      <c r="E53" s="10">
        <v>0</v>
      </c>
      <c r="F53" s="10">
        <v>1</v>
      </c>
      <c r="G53" s="10">
        <v>-7.1925900000000003E-9</v>
      </c>
      <c r="H53" s="10">
        <v>0</v>
      </c>
      <c r="I53" s="10">
        <v>0</v>
      </c>
      <c r="J53" s="10">
        <v>1.1020400000000001E-9</v>
      </c>
      <c r="K53" s="10">
        <v>0</v>
      </c>
      <c r="L53" s="10">
        <v>0</v>
      </c>
      <c r="M53" s="10">
        <v>-17.421399999999998</v>
      </c>
      <c r="N53" s="10">
        <v>0</v>
      </c>
      <c r="O53" s="10">
        <v>0</v>
      </c>
      <c r="P53" s="10">
        <v>-17.421399999999998</v>
      </c>
      <c r="Q53" s="10">
        <v>0</v>
      </c>
      <c r="R53" s="10">
        <v>0</v>
      </c>
      <c r="S53" s="10">
        <v>1</v>
      </c>
      <c r="T53" s="10">
        <v>51</v>
      </c>
      <c r="U53" s="10">
        <v>0</v>
      </c>
      <c r="V53" s="10">
        <v>0.28571400000000002</v>
      </c>
      <c r="W53" s="10">
        <v>0.28571400000000002</v>
      </c>
    </row>
    <row r="54" spans="1:23" x14ac:dyDescent="0.15">
      <c r="A54" s="10">
        <v>1</v>
      </c>
      <c r="B54" s="10">
        <v>-27.2972</v>
      </c>
      <c r="C54" s="10">
        <v>5.2154099999999997E-8</v>
      </c>
      <c r="D54" s="10">
        <v>5.2154099999999997E-8</v>
      </c>
      <c r="E54" s="10">
        <v>0</v>
      </c>
      <c r="F54" s="10">
        <v>1</v>
      </c>
      <c r="G54" s="10">
        <v>-6.83839E-9</v>
      </c>
      <c r="H54" s="10">
        <v>0</v>
      </c>
      <c r="I54" s="10">
        <v>0</v>
      </c>
      <c r="J54" s="10">
        <v>1.1676600000000001E-9</v>
      </c>
      <c r="K54" s="10">
        <v>0</v>
      </c>
      <c r="L54" s="10">
        <v>0</v>
      </c>
      <c r="M54" s="10">
        <v>-17.490500000000001</v>
      </c>
      <c r="N54" s="10">
        <v>0</v>
      </c>
      <c r="O54" s="10">
        <v>0</v>
      </c>
      <c r="P54" s="10">
        <v>-17.490500000000001</v>
      </c>
      <c r="Q54" s="10">
        <v>0</v>
      </c>
      <c r="R54" s="10">
        <v>0</v>
      </c>
      <c r="S54" s="10">
        <v>1</v>
      </c>
      <c r="T54" s="10">
        <v>52</v>
      </c>
      <c r="U54" s="10">
        <v>0</v>
      </c>
      <c r="V54" s="10">
        <v>0.28571400000000002</v>
      </c>
      <c r="W54" s="10">
        <v>0.28571400000000002</v>
      </c>
    </row>
    <row r="55" spans="1:23" x14ac:dyDescent="0.15">
      <c r="A55" s="10">
        <v>1</v>
      </c>
      <c r="B55" s="10">
        <v>-27.419499999999999</v>
      </c>
      <c r="C55" s="10">
        <v>-1.08802E-14</v>
      </c>
      <c r="D55" s="10">
        <v>-1.08802E-14</v>
      </c>
      <c r="E55" s="10">
        <v>0</v>
      </c>
      <c r="F55" s="10">
        <v>1</v>
      </c>
      <c r="G55" s="10">
        <v>-6.5008599999999998E-9</v>
      </c>
      <c r="H55" s="10">
        <v>0</v>
      </c>
      <c r="I55" s="10">
        <v>0</v>
      </c>
      <c r="J55" s="10">
        <v>1.2284300000000001E-9</v>
      </c>
      <c r="K55" s="10">
        <v>0</v>
      </c>
      <c r="L55" s="10">
        <v>0</v>
      </c>
      <c r="M55" s="10">
        <v>-17.558900000000001</v>
      </c>
      <c r="N55" s="10">
        <v>0</v>
      </c>
      <c r="O55" s="10">
        <v>0</v>
      </c>
      <c r="P55" s="10">
        <v>-17.558900000000001</v>
      </c>
      <c r="Q55" s="10">
        <v>0</v>
      </c>
      <c r="R55" s="10">
        <v>0</v>
      </c>
      <c r="S55" s="10">
        <v>1</v>
      </c>
      <c r="T55" s="10">
        <v>53</v>
      </c>
      <c r="U55" s="10">
        <v>0</v>
      </c>
      <c r="V55" s="10">
        <v>0.28571400000000002</v>
      </c>
      <c r="W55" s="10">
        <v>0.28571400000000002</v>
      </c>
    </row>
    <row r="56" spans="1:23" x14ac:dyDescent="0.15">
      <c r="A56" s="10">
        <v>1</v>
      </c>
      <c r="B56" s="10">
        <v>-27.541499999999999</v>
      </c>
      <c r="C56" s="10">
        <v>-1.08802E-14</v>
      </c>
      <c r="D56" s="10">
        <v>-1.08802E-14</v>
      </c>
      <c r="E56" s="10">
        <v>0</v>
      </c>
      <c r="F56" s="10">
        <v>1</v>
      </c>
      <c r="G56" s="10">
        <v>-6.17854E-9</v>
      </c>
      <c r="H56" s="10">
        <v>0</v>
      </c>
      <c r="I56" s="10">
        <v>0</v>
      </c>
      <c r="J56" s="10">
        <v>1.2848400000000001E-9</v>
      </c>
      <c r="K56" s="10">
        <v>0</v>
      </c>
      <c r="L56" s="10">
        <v>0</v>
      </c>
      <c r="M56" s="10">
        <v>-17.6264</v>
      </c>
      <c r="N56" s="10">
        <v>0</v>
      </c>
      <c r="O56" s="10">
        <v>0</v>
      </c>
      <c r="P56" s="10">
        <v>-17.6264</v>
      </c>
      <c r="Q56" s="10">
        <v>0</v>
      </c>
      <c r="R56" s="10">
        <v>0</v>
      </c>
      <c r="S56" s="10">
        <v>1</v>
      </c>
      <c r="T56" s="10">
        <v>54</v>
      </c>
      <c r="U56" s="10">
        <v>0</v>
      </c>
      <c r="V56" s="10">
        <v>0.28571400000000002</v>
      </c>
      <c r="W56" s="10">
        <v>0.28571400000000002</v>
      </c>
    </row>
    <row r="57" spans="1:23" x14ac:dyDescent="0.15">
      <c r="A57" s="10">
        <v>1</v>
      </c>
      <c r="B57" s="10">
        <v>-27.6632</v>
      </c>
      <c r="C57" s="10">
        <v>-1.08802E-14</v>
      </c>
      <c r="D57" s="10">
        <v>-1.08802E-14</v>
      </c>
      <c r="E57" s="10">
        <v>0</v>
      </c>
      <c r="F57" s="10">
        <v>1</v>
      </c>
      <c r="G57" s="10">
        <v>-5.8701299999999999E-9</v>
      </c>
      <c r="H57" s="10">
        <v>0</v>
      </c>
      <c r="I57" s="10">
        <v>0</v>
      </c>
      <c r="J57" s="10">
        <v>1.3373200000000001E-9</v>
      </c>
      <c r="K57" s="10">
        <v>0</v>
      </c>
      <c r="L57" s="10">
        <v>0</v>
      </c>
      <c r="M57" s="10">
        <v>-17.693200000000001</v>
      </c>
      <c r="N57" s="10">
        <v>0</v>
      </c>
      <c r="O57" s="10">
        <v>0</v>
      </c>
      <c r="P57" s="10">
        <v>-17.693200000000001</v>
      </c>
      <c r="Q57" s="10">
        <v>0</v>
      </c>
      <c r="R57" s="10">
        <v>0</v>
      </c>
      <c r="S57" s="10">
        <v>1</v>
      </c>
      <c r="T57" s="10">
        <v>55</v>
      </c>
      <c r="U57" s="10">
        <v>0</v>
      </c>
      <c r="V57" s="10">
        <v>0.28571400000000002</v>
      </c>
      <c r="W57" s="10">
        <v>0.28571400000000002</v>
      </c>
    </row>
    <row r="58" spans="1:23" x14ac:dyDescent="0.15">
      <c r="A58" s="10">
        <v>1</v>
      </c>
      <c r="B58" s="10">
        <v>-27.784700000000001</v>
      </c>
      <c r="C58" s="10">
        <v>-5.4400899999999996E-15</v>
      </c>
      <c r="D58" s="10">
        <v>-5.4400899999999996E-15</v>
      </c>
      <c r="E58" s="10">
        <v>0</v>
      </c>
      <c r="F58" s="10">
        <v>1</v>
      </c>
      <c r="G58" s="10">
        <v>-5.5744199999999999E-9</v>
      </c>
      <c r="H58" s="10">
        <v>0</v>
      </c>
      <c r="I58" s="10">
        <v>0</v>
      </c>
      <c r="J58" s="10">
        <v>1.38625E-9</v>
      </c>
      <c r="K58" s="10">
        <v>0</v>
      </c>
      <c r="L58" s="10">
        <v>0</v>
      </c>
      <c r="M58" s="10">
        <v>-17.7591</v>
      </c>
      <c r="N58" s="10">
        <v>0</v>
      </c>
      <c r="O58" s="10">
        <v>0</v>
      </c>
      <c r="P58" s="10">
        <v>-17.7591</v>
      </c>
      <c r="Q58" s="10">
        <v>0</v>
      </c>
      <c r="R58" s="10">
        <v>0</v>
      </c>
      <c r="S58" s="10">
        <v>1</v>
      </c>
      <c r="T58" s="10">
        <v>56</v>
      </c>
      <c r="U58" s="10">
        <v>0</v>
      </c>
      <c r="V58" s="10">
        <v>0.28571400000000002</v>
      </c>
      <c r="W58" s="10">
        <v>0.28571400000000002</v>
      </c>
    </row>
    <row r="59" spans="1:23" x14ac:dyDescent="0.15">
      <c r="A59" s="10">
        <v>1</v>
      </c>
      <c r="B59" s="10">
        <v>-27.9057</v>
      </c>
      <c r="C59" s="10">
        <v>5.2154099999999997E-8</v>
      </c>
      <c r="D59" s="10">
        <v>5.2154099999999997E-8</v>
      </c>
      <c r="E59" s="10">
        <v>0</v>
      </c>
      <c r="F59" s="10">
        <v>1</v>
      </c>
      <c r="G59" s="10">
        <v>-5.29032E-9</v>
      </c>
      <c r="H59" s="10">
        <v>0</v>
      </c>
      <c r="I59" s="10">
        <v>0</v>
      </c>
      <c r="J59" s="10">
        <v>1.43195E-9</v>
      </c>
      <c r="K59" s="10">
        <v>0</v>
      </c>
      <c r="L59" s="10">
        <v>0</v>
      </c>
      <c r="M59" s="10">
        <v>-17.824000000000002</v>
      </c>
      <c r="N59" s="10">
        <v>0</v>
      </c>
      <c r="O59" s="10">
        <v>0</v>
      </c>
      <c r="P59" s="10">
        <v>-17.824000000000002</v>
      </c>
      <c r="Q59" s="10">
        <v>0</v>
      </c>
      <c r="R59" s="10">
        <v>0</v>
      </c>
      <c r="S59" s="10">
        <v>1</v>
      </c>
      <c r="T59" s="10">
        <v>57</v>
      </c>
      <c r="U59" s="10">
        <v>0</v>
      </c>
      <c r="V59" s="10">
        <v>0.28571400000000002</v>
      </c>
      <c r="W59" s="10">
        <v>0.28571400000000002</v>
      </c>
    </row>
    <row r="60" spans="1:23" x14ac:dyDescent="0.15">
      <c r="A60" s="10">
        <v>1</v>
      </c>
      <c r="B60" s="10">
        <v>-28.026399999999999</v>
      </c>
      <c r="C60" s="10">
        <v>-5.4400899999999996E-15</v>
      </c>
      <c r="D60" s="10">
        <v>-5.4400899999999996E-15</v>
      </c>
      <c r="E60" s="10">
        <v>0</v>
      </c>
      <c r="F60" s="10">
        <v>1</v>
      </c>
      <c r="G60" s="10">
        <v>-5.0168299999999999E-9</v>
      </c>
      <c r="H60" s="10">
        <v>0</v>
      </c>
      <c r="I60" s="10">
        <v>0</v>
      </c>
      <c r="J60" s="10">
        <v>1.4747299999999999E-9</v>
      </c>
      <c r="K60" s="10">
        <v>0</v>
      </c>
      <c r="L60" s="10">
        <v>0</v>
      </c>
      <c r="M60" s="10">
        <v>-17.888200000000001</v>
      </c>
      <c r="N60" s="10">
        <v>0</v>
      </c>
      <c r="O60" s="10">
        <v>0</v>
      </c>
      <c r="P60" s="10">
        <v>-17.888200000000001</v>
      </c>
      <c r="Q60" s="10">
        <v>0</v>
      </c>
      <c r="R60" s="10">
        <v>0</v>
      </c>
      <c r="S60" s="10">
        <v>1</v>
      </c>
      <c r="T60" s="10">
        <v>58</v>
      </c>
      <c r="U60" s="10">
        <v>0</v>
      </c>
      <c r="V60" s="10">
        <v>0.28571400000000002</v>
      </c>
      <c r="W60" s="10">
        <v>0.28571400000000002</v>
      </c>
    </row>
    <row r="61" spans="1:23" x14ac:dyDescent="0.15">
      <c r="A61" s="10">
        <v>1</v>
      </c>
      <c r="B61" s="10">
        <v>-28.146599999999999</v>
      </c>
      <c r="C61" s="10">
        <v>-1.08802E-14</v>
      </c>
      <c r="D61" s="10">
        <v>-1.08802E-14</v>
      </c>
      <c r="E61" s="10">
        <v>0</v>
      </c>
      <c r="F61" s="10">
        <v>1</v>
      </c>
      <c r="G61" s="10">
        <v>-4.75304E-9</v>
      </c>
      <c r="H61" s="10">
        <v>0</v>
      </c>
      <c r="I61" s="10">
        <v>0</v>
      </c>
      <c r="J61" s="10">
        <v>1.51483E-9</v>
      </c>
      <c r="K61" s="10">
        <v>0</v>
      </c>
      <c r="L61" s="10">
        <v>0</v>
      </c>
      <c r="M61" s="10">
        <v>-17.9514</v>
      </c>
      <c r="N61" s="10">
        <v>0</v>
      </c>
      <c r="O61" s="10">
        <v>0</v>
      </c>
      <c r="P61" s="10">
        <v>-17.9514</v>
      </c>
      <c r="Q61" s="10">
        <v>0</v>
      </c>
      <c r="R61" s="10">
        <v>0</v>
      </c>
      <c r="S61" s="10">
        <v>1</v>
      </c>
      <c r="T61" s="10">
        <v>59</v>
      </c>
      <c r="U61" s="10">
        <v>0</v>
      </c>
      <c r="V61" s="10">
        <v>0.28571400000000002</v>
      </c>
      <c r="W61" s="10">
        <v>0.28571400000000002</v>
      </c>
    </row>
    <row r="62" spans="1:23" x14ac:dyDescent="0.15">
      <c r="A62" s="10">
        <v>1</v>
      </c>
      <c r="B62" s="10">
        <v>-28.266300000000001</v>
      </c>
      <c r="C62" s="10">
        <v>-1.08802E-14</v>
      </c>
      <c r="D62" s="10">
        <v>-1.08802E-14</v>
      </c>
      <c r="E62" s="10">
        <v>0</v>
      </c>
      <c r="F62" s="10">
        <v>1</v>
      </c>
      <c r="G62" s="10">
        <v>-4.4980899999999997E-9</v>
      </c>
      <c r="H62" s="10">
        <v>0</v>
      </c>
      <c r="I62" s="10">
        <v>0</v>
      </c>
      <c r="J62" s="10">
        <v>1.5524900000000001E-9</v>
      </c>
      <c r="K62" s="10">
        <v>0</v>
      </c>
      <c r="L62" s="10">
        <v>0</v>
      </c>
      <c r="M62" s="10">
        <v>-18.0137</v>
      </c>
      <c r="N62" s="10">
        <v>0</v>
      </c>
      <c r="O62" s="10">
        <v>0</v>
      </c>
      <c r="P62" s="10">
        <v>-18.0137</v>
      </c>
      <c r="Q62" s="10">
        <v>0</v>
      </c>
      <c r="R62" s="10">
        <v>0</v>
      </c>
      <c r="S62" s="10">
        <v>1</v>
      </c>
      <c r="T62" s="10">
        <v>60</v>
      </c>
      <c r="U62" s="10">
        <v>0</v>
      </c>
      <c r="V62" s="10">
        <v>0.28571400000000002</v>
      </c>
      <c r="W62" s="10">
        <v>0.28571400000000002</v>
      </c>
    </row>
    <row r="63" spans="1:23" x14ac:dyDescent="0.15">
      <c r="A63" s="10">
        <v>1</v>
      </c>
      <c r="B63" s="10">
        <v>-28.3855</v>
      </c>
      <c r="C63" s="10">
        <v>-1.08802E-14</v>
      </c>
      <c r="D63" s="10">
        <v>-1.08802E-14</v>
      </c>
      <c r="E63" s="10">
        <v>0</v>
      </c>
      <c r="F63" s="10">
        <v>1</v>
      </c>
      <c r="G63" s="10">
        <v>-4.2512200000000001E-9</v>
      </c>
      <c r="H63" s="10">
        <v>0</v>
      </c>
      <c r="I63" s="10">
        <v>0</v>
      </c>
      <c r="J63" s="10">
        <v>1.5879000000000001E-9</v>
      </c>
      <c r="K63" s="10">
        <v>0</v>
      </c>
      <c r="L63" s="10">
        <v>0</v>
      </c>
      <c r="M63" s="10">
        <v>-18.074999999999999</v>
      </c>
      <c r="N63" s="10">
        <v>0</v>
      </c>
      <c r="O63" s="10">
        <v>0</v>
      </c>
      <c r="P63" s="10">
        <v>-18.074999999999999</v>
      </c>
      <c r="Q63" s="10">
        <v>0</v>
      </c>
      <c r="R63" s="10">
        <v>0</v>
      </c>
      <c r="S63" s="10">
        <v>1</v>
      </c>
      <c r="T63" s="10">
        <v>61</v>
      </c>
      <c r="U63" s="10">
        <v>0</v>
      </c>
      <c r="V63" s="10">
        <v>0.28571400000000002</v>
      </c>
      <c r="W63" s="10">
        <v>0.28571400000000002</v>
      </c>
    </row>
    <row r="64" spans="1:23" x14ac:dyDescent="0.15">
      <c r="A64" s="10">
        <v>1</v>
      </c>
      <c r="B64" s="10">
        <v>-28.504100000000001</v>
      </c>
      <c r="C64" s="10">
        <v>-1.08802E-14</v>
      </c>
      <c r="D64" s="10">
        <v>-1.08802E-14</v>
      </c>
      <c r="E64" s="10">
        <v>0</v>
      </c>
      <c r="F64" s="10">
        <v>1</v>
      </c>
      <c r="G64" s="10">
        <v>-4.0116800000000004E-9</v>
      </c>
      <c r="H64" s="10">
        <v>0</v>
      </c>
      <c r="I64" s="10">
        <v>0</v>
      </c>
      <c r="J64" s="10">
        <v>1.6212400000000001E-9</v>
      </c>
      <c r="K64" s="10">
        <v>0</v>
      </c>
      <c r="L64" s="10">
        <v>0</v>
      </c>
      <c r="M64" s="10">
        <v>-18.135400000000001</v>
      </c>
      <c r="N64" s="10">
        <v>0</v>
      </c>
      <c r="O64" s="10">
        <v>0</v>
      </c>
      <c r="P64" s="10">
        <v>-18.135400000000001</v>
      </c>
      <c r="Q64" s="10">
        <v>0</v>
      </c>
      <c r="R64" s="10">
        <v>0</v>
      </c>
      <c r="S64" s="10">
        <v>1</v>
      </c>
      <c r="T64" s="10">
        <v>62</v>
      </c>
      <c r="U64" s="10">
        <v>0</v>
      </c>
      <c r="V64" s="10">
        <v>0.28571400000000002</v>
      </c>
      <c r="W64" s="10">
        <v>0.28571400000000002</v>
      </c>
    </row>
    <row r="65" spans="1:23" x14ac:dyDescent="0.15">
      <c r="A65" s="10">
        <v>1</v>
      </c>
      <c r="B65" s="10">
        <v>-28.6221</v>
      </c>
      <c r="C65" s="10">
        <v>-2.6076999999999999E-8</v>
      </c>
      <c r="D65" s="10">
        <v>-2.6076999999999999E-8</v>
      </c>
      <c r="E65" s="10">
        <v>0</v>
      </c>
      <c r="F65" s="10">
        <v>1</v>
      </c>
      <c r="G65" s="10">
        <v>-3.7787900000000003E-9</v>
      </c>
      <c r="H65" s="10">
        <v>0</v>
      </c>
      <c r="I65" s="10">
        <v>0</v>
      </c>
      <c r="J65" s="10">
        <v>1.65267E-9</v>
      </c>
      <c r="K65" s="10">
        <v>0</v>
      </c>
      <c r="L65" s="10">
        <v>0</v>
      </c>
      <c r="M65" s="10">
        <v>-18.194900000000001</v>
      </c>
      <c r="N65" s="10">
        <v>0</v>
      </c>
      <c r="O65" s="10">
        <v>0</v>
      </c>
      <c r="P65" s="10">
        <v>-18.194900000000001</v>
      </c>
      <c r="Q65" s="10">
        <v>0</v>
      </c>
      <c r="R65" s="10">
        <v>0</v>
      </c>
      <c r="S65" s="10">
        <v>1</v>
      </c>
      <c r="T65" s="10">
        <v>63</v>
      </c>
      <c r="U65" s="10">
        <v>0</v>
      </c>
      <c r="V65" s="10">
        <v>0.28571400000000002</v>
      </c>
      <c r="W65" s="10">
        <v>0.28571400000000002</v>
      </c>
    </row>
    <row r="66" spans="1:23" x14ac:dyDescent="0.15">
      <c r="A66" s="10">
        <v>1</v>
      </c>
      <c r="B66" s="10">
        <v>-28.7395</v>
      </c>
      <c r="C66" s="10">
        <v>-2.6076999999999999E-8</v>
      </c>
      <c r="D66" s="10">
        <v>-2.6076999999999999E-8</v>
      </c>
      <c r="E66" s="10">
        <v>0</v>
      </c>
      <c r="F66" s="10">
        <v>1</v>
      </c>
      <c r="G66" s="10">
        <v>-3.5519199999999999E-9</v>
      </c>
      <c r="H66" s="10">
        <v>0</v>
      </c>
      <c r="I66" s="10">
        <v>0</v>
      </c>
      <c r="J66" s="10">
        <v>1.68231E-9</v>
      </c>
      <c r="K66" s="10">
        <v>0</v>
      </c>
      <c r="L66" s="10">
        <v>0</v>
      </c>
      <c r="M66" s="10">
        <v>-18.253499999999999</v>
      </c>
      <c r="N66" s="10">
        <v>0</v>
      </c>
      <c r="O66" s="10">
        <v>0</v>
      </c>
      <c r="P66" s="10">
        <v>-18.253499999999999</v>
      </c>
      <c r="Q66" s="10">
        <v>0</v>
      </c>
      <c r="R66" s="10">
        <v>0</v>
      </c>
      <c r="S66" s="10">
        <v>1</v>
      </c>
      <c r="T66" s="10">
        <v>64</v>
      </c>
      <c r="U66" s="10">
        <v>0</v>
      </c>
      <c r="V66" s="10">
        <v>0.28571400000000002</v>
      </c>
      <c r="W66" s="10">
        <v>0.28571400000000002</v>
      </c>
    </row>
    <row r="67" spans="1:23" x14ac:dyDescent="0.15">
      <c r="A67" s="10">
        <v>1</v>
      </c>
      <c r="B67" s="10">
        <v>-28.856200000000001</v>
      </c>
      <c r="C67" s="10">
        <v>-1.08802E-14</v>
      </c>
      <c r="D67" s="10">
        <v>-1.08802E-14</v>
      </c>
      <c r="E67" s="10">
        <v>0</v>
      </c>
      <c r="F67" s="10">
        <v>1</v>
      </c>
      <c r="G67" s="10">
        <v>-3.3304600000000001E-9</v>
      </c>
      <c r="H67" s="10">
        <v>0</v>
      </c>
      <c r="I67" s="10">
        <v>0</v>
      </c>
      <c r="J67" s="10">
        <v>1.71028E-9</v>
      </c>
      <c r="K67" s="10">
        <v>0</v>
      </c>
      <c r="L67" s="10">
        <v>0</v>
      </c>
      <c r="M67" s="10">
        <v>-18.311</v>
      </c>
      <c r="N67" s="10">
        <v>8.8660100000000004E-7</v>
      </c>
      <c r="O67" s="10">
        <v>8.8660100000000004E-7</v>
      </c>
      <c r="P67" s="10">
        <v>-18.311</v>
      </c>
      <c r="Q67" s="10">
        <v>8.8660100000000004E-7</v>
      </c>
      <c r="R67" s="10">
        <v>8.8660100000000004E-7</v>
      </c>
      <c r="S67" s="10">
        <v>1</v>
      </c>
      <c r="T67" s="10">
        <v>65</v>
      </c>
      <c r="U67" s="10">
        <v>0</v>
      </c>
      <c r="V67" s="10">
        <v>0.28571400000000002</v>
      </c>
      <c r="W67" s="10">
        <v>0.28571400000000002</v>
      </c>
    </row>
    <row r="68" spans="1:23" x14ac:dyDescent="0.15">
      <c r="A68" s="10">
        <v>1</v>
      </c>
      <c r="B68" s="10">
        <v>-28.972200000000001</v>
      </c>
      <c r="C68" s="10">
        <v>-1.08802E-14</v>
      </c>
      <c r="D68" s="10">
        <v>-1.08802E-14</v>
      </c>
      <c r="E68" s="10">
        <v>0</v>
      </c>
      <c r="F68" s="10">
        <v>1</v>
      </c>
      <c r="G68" s="10">
        <v>-3.1138400000000001E-9</v>
      </c>
      <c r="H68" s="10">
        <v>0</v>
      </c>
      <c r="I68" s="10">
        <v>0</v>
      </c>
      <c r="J68" s="10">
        <v>1.73668E-9</v>
      </c>
      <c r="K68" s="10">
        <v>0</v>
      </c>
      <c r="L68" s="10">
        <v>0</v>
      </c>
      <c r="M68" s="10">
        <v>-18.367699999999999</v>
      </c>
      <c r="N68" s="10">
        <v>0</v>
      </c>
      <c r="O68" s="10">
        <v>0</v>
      </c>
      <c r="P68" s="10">
        <v>-18.367699999999999</v>
      </c>
      <c r="Q68" s="10">
        <v>0</v>
      </c>
      <c r="R68" s="10">
        <v>0</v>
      </c>
      <c r="S68" s="10">
        <v>1</v>
      </c>
      <c r="T68" s="10">
        <v>66</v>
      </c>
      <c r="U68" s="10">
        <v>0</v>
      </c>
      <c r="V68" s="10">
        <v>0.28571400000000002</v>
      </c>
      <c r="W68" s="10">
        <v>0.28571400000000002</v>
      </c>
    </row>
    <row r="69" spans="1:23" x14ac:dyDescent="0.15">
      <c r="A69" s="10">
        <v>1</v>
      </c>
      <c r="B69" s="10">
        <v>-29.087499999999999</v>
      </c>
      <c r="C69" s="10">
        <v>-1.08802E-14</v>
      </c>
      <c r="D69" s="10">
        <v>-1.08802E-14</v>
      </c>
      <c r="E69" s="10">
        <v>0</v>
      </c>
      <c r="F69" s="10">
        <v>1</v>
      </c>
      <c r="G69" s="10">
        <v>-2.9015099999999998E-9</v>
      </c>
      <c r="H69" s="10">
        <v>0</v>
      </c>
      <c r="I69" s="10">
        <v>0</v>
      </c>
      <c r="J69" s="10">
        <v>1.7615899999999999E-9</v>
      </c>
      <c r="K69" s="10">
        <v>0</v>
      </c>
      <c r="L69" s="10">
        <v>0</v>
      </c>
      <c r="M69" s="10">
        <v>-18.423300000000001</v>
      </c>
      <c r="N69" s="10">
        <v>0</v>
      </c>
      <c r="O69" s="10">
        <v>0</v>
      </c>
      <c r="P69" s="10">
        <v>-18.423300000000001</v>
      </c>
      <c r="Q69" s="10">
        <v>0</v>
      </c>
      <c r="R69" s="10">
        <v>0</v>
      </c>
      <c r="S69" s="10">
        <v>1</v>
      </c>
      <c r="T69" s="10">
        <v>67</v>
      </c>
      <c r="U69" s="10">
        <v>0</v>
      </c>
      <c r="V69" s="10">
        <v>0.28571400000000002</v>
      </c>
      <c r="W69" s="10">
        <v>0.28571400000000002</v>
      </c>
    </row>
    <row r="70" spans="1:23" x14ac:dyDescent="0.15">
      <c r="A70" s="10">
        <v>1</v>
      </c>
      <c r="B70" s="10">
        <v>-29.201899999999998</v>
      </c>
      <c r="C70" s="10">
        <v>-1.08802E-14</v>
      </c>
      <c r="D70" s="10">
        <v>-1.08802E-14</v>
      </c>
      <c r="E70" s="10">
        <v>0</v>
      </c>
      <c r="F70" s="10">
        <v>1</v>
      </c>
      <c r="G70" s="10">
        <v>-2.69294E-9</v>
      </c>
      <c r="H70" s="10">
        <v>0</v>
      </c>
      <c r="I70" s="10">
        <v>0</v>
      </c>
      <c r="J70" s="10">
        <v>1.7850900000000001E-9</v>
      </c>
      <c r="K70" s="10">
        <v>0</v>
      </c>
      <c r="L70" s="10">
        <v>0</v>
      </c>
      <c r="M70" s="10">
        <v>-18.477900000000002</v>
      </c>
      <c r="N70" s="10">
        <v>0</v>
      </c>
      <c r="O70" s="10">
        <v>0</v>
      </c>
      <c r="P70" s="10">
        <v>-18.477900000000002</v>
      </c>
      <c r="Q70" s="10">
        <v>0</v>
      </c>
      <c r="R70" s="10">
        <v>0</v>
      </c>
      <c r="S70" s="10">
        <v>1</v>
      </c>
      <c r="T70" s="10">
        <v>68</v>
      </c>
      <c r="U70" s="10">
        <v>0</v>
      </c>
      <c r="V70" s="10">
        <v>0.28571400000000002</v>
      </c>
      <c r="W70" s="10">
        <v>0.28571400000000002</v>
      </c>
    </row>
    <row r="71" spans="1:23" x14ac:dyDescent="0.15">
      <c r="A71" s="10">
        <v>1</v>
      </c>
      <c r="B71" s="10">
        <v>-29.3156</v>
      </c>
      <c r="C71" s="10">
        <v>-1.08802E-14</v>
      </c>
      <c r="D71" s="10">
        <v>-1.08802E-14</v>
      </c>
      <c r="E71" s="10">
        <v>0</v>
      </c>
      <c r="F71" s="10">
        <v>1</v>
      </c>
      <c r="G71" s="10">
        <v>-2.4876200000000001E-9</v>
      </c>
      <c r="H71" s="10">
        <v>0</v>
      </c>
      <c r="I71" s="10">
        <v>0</v>
      </c>
      <c r="J71" s="10">
        <v>1.80723E-9</v>
      </c>
      <c r="K71" s="10">
        <v>0</v>
      </c>
      <c r="L71" s="10">
        <v>0</v>
      </c>
      <c r="M71" s="10">
        <v>-18.531600000000001</v>
      </c>
      <c r="N71" s="10">
        <v>0</v>
      </c>
      <c r="O71" s="10">
        <v>0</v>
      </c>
      <c r="P71" s="10">
        <v>-18.531600000000001</v>
      </c>
      <c r="Q71" s="10">
        <v>0</v>
      </c>
      <c r="R71" s="10">
        <v>0</v>
      </c>
      <c r="S71" s="10">
        <v>1</v>
      </c>
      <c r="T71" s="10">
        <v>69</v>
      </c>
      <c r="U71" s="10">
        <v>0</v>
      </c>
      <c r="V71" s="10">
        <v>0.28571400000000002</v>
      </c>
      <c r="W71" s="10">
        <v>0.28571400000000002</v>
      </c>
    </row>
    <row r="72" spans="1:23" x14ac:dyDescent="0.15">
      <c r="A72" s="10">
        <v>1</v>
      </c>
      <c r="B72" s="10">
        <v>-29.4283</v>
      </c>
      <c r="C72" s="10">
        <v>-1.08802E-14</v>
      </c>
      <c r="D72" s="10">
        <v>-1.08802E-14</v>
      </c>
      <c r="E72" s="10">
        <v>0</v>
      </c>
      <c r="F72" s="10">
        <v>1</v>
      </c>
      <c r="G72" s="10">
        <v>-2.28506E-9</v>
      </c>
      <c r="H72" s="10">
        <v>0</v>
      </c>
      <c r="I72" s="10">
        <v>0</v>
      </c>
      <c r="J72" s="10">
        <v>1.82804E-9</v>
      </c>
      <c r="K72" s="10">
        <v>0</v>
      </c>
      <c r="L72" s="10">
        <v>0</v>
      </c>
      <c r="M72" s="10">
        <v>-18.584199999999999</v>
      </c>
      <c r="N72" s="10">
        <v>8.6053700000000002E-7</v>
      </c>
      <c r="O72" s="10">
        <v>8.6053700000000002E-7</v>
      </c>
      <c r="P72" s="10">
        <v>-18.584199999999999</v>
      </c>
      <c r="Q72" s="10">
        <v>8.6053700000000002E-7</v>
      </c>
      <c r="R72" s="10">
        <v>8.6053700000000002E-7</v>
      </c>
      <c r="S72" s="10">
        <v>1</v>
      </c>
      <c r="T72" s="10">
        <v>70</v>
      </c>
      <c r="U72" s="10">
        <v>0</v>
      </c>
      <c r="V72" s="10">
        <v>0.28571400000000002</v>
      </c>
      <c r="W72" s="10">
        <v>0.28571400000000002</v>
      </c>
    </row>
    <row r="73" spans="1:23" x14ac:dyDescent="0.15">
      <c r="A73" s="10">
        <v>1</v>
      </c>
      <c r="B73" s="10">
        <v>-29.540099999999999</v>
      </c>
      <c r="C73" s="10">
        <v>-2.6076999999999999E-8</v>
      </c>
      <c r="D73" s="10">
        <v>-2.6076999999999999E-8</v>
      </c>
      <c r="E73" s="10">
        <v>0</v>
      </c>
      <c r="F73" s="10">
        <v>1</v>
      </c>
      <c r="G73" s="10">
        <v>-2.0847799999999999E-9</v>
      </c>
      <c r="H73" s="10">
        <v>0</v>
      </c>
      <c r="I73" s="10">
        <v>0</v>
      </c>
      <c r="J73" s="10">
        <v>1.8475700000000001E-9</v>
      </c>
      <c r="K73" s="10">
        <v>0</v>
      </c>
      <c r="L73" s="10">
        <v>0</v>
      </c>
      <c r="M73" s="10">
        <v>-18.635899999999999</v>
      </c>
      <c r="N73" s="10">
        <v>0</v>
      </c>
      <c r="O73" s="10">
        <v>0</v>
      </c>
      <c r="P73" s="10">
        <v>-18.635899999999999</v>
      </c>
      <c r="Q73" s="10">
        <v>0</v>
      </c>
      <c r="R73" s="10">
        <v>0</v>
      </c>
      <c r="S73" s="10">
        <v>1</v>
      </c>
      <c r="T73" s="10">
        <v>71</v>
      </c>
      <c r="U73" s="10">
        <v>0</v>
      </c>
      <c r="V73" s="10">
        <v>0.28571400000000002</v>
      </c>
      <c r="W73" s="10">
        <v>0.28571400000000002</v>
      </c>
    </row>
    <row r="74" spans="1:23" x14ac:dyDescent="0.15">
      <c r="A74" s="10">
        <v>1</v>
      </c>
      <c r="B74" s="10">
        <v>-29.651</v>
      </c>
      <c r="C74" s="10">
        <v>-1.08802E-14</v>
      </c>
      <c r="D74" s="10">
        <v>-1.08802E-14</v>
      </c>
      <c r="E74" s="10">
        <v>0</v>
      </c>
      <c r="F74" s="10">
        <v>1</v>
      </c>
      <c r="G74" s="10">
        <v>-1.8862799999999998E-9</v>
      </c>
      <c r="H74" s="10">
        <v>0</v>
      </c>
      <c r="I74" s="10">
        <v>0</v>
      </c>
      <c r="J74" s="10">
        <v>1.8658100000000002E-9</v>
      </c>
      <c r="K74" s="10">
        <v>0</v>
      </c>
      <c r="L74" s="10">
        <v>0</v>
      </c>
      <c r="M74" s="10">
        <v>-18.686499999999999</v>
      </c>
      <c r="N74" s="10">
        <v>0</v>
      </c>
      <c r="O74" s="10">
        <v>0</v>
      </c>
      <c r="P74" s="10">
        <v>-18.686499999999999</v>
      </c>
      <c r="Q74" s="10">
        <v>0</v>
      </c>
      <c r="R74" s="10">
        <v>0</v>
      </c>
      <c r="S74" s="10">
        <v>1</v>
      </c>
      <c r="T74" s="10">
        <v>72</v>
      </c>
      <c r="U74" s="10">
        <v>0</v>
      </c>
      <c r="V74" s="10">
        <v>0.28571400000000002</v>
      </c>
      <c r="W74" s="10">
        <v>0.28571400000000002</v>
      </c>
    </row>
    <row r="75" spans="1:23" x14ac:dyDescent="0.15">
      <c r="A75" s="10">
        <v>1</v>
      </c>
      <c r="B75" s="10">
        <v>-29.7608</v>
      </c>
      <c r="C75" s="10">
        <v>-7.82311E-8</v>
      </c>
      <c r="D75" s="10">
        <v>-7.82311E-8</v>
      </c>
      <c r="E75" s="10">
        <v>0</v>
      </c>
      <c r="F75" s="10">
        <v>1</v>
      </c>
      <c r="G75" s="10">
        <v>-1.6891000000000001E-9</v>
      </c>
      <c r="H75" s="10">
        <v>0</v>
      </c>
      <c r="I75" s="10">
        <v>0</v>
      </c>
      <c r="J75" s="10">
        <v>1.8827599999999998E-9</v>
      </c>
      <c r="K75" s="10">
        <v>0</v>
      </c>
      <c r="L75" s="10">
        <v>0</v>
      </c>
      <c r="M75" s="10">
        <v>-18.7362</v>
      </c>
      <c r="N75" s="10">
        <v>0</v>
      </c>
      <c r="O75" s="10">
        <v>0</v>
      </c>
      <c r="P75" s="10">
        <v>-18.7362</v>
      </c>
      <c r="Q75" s="10">
        <v>0</v>
      </c>
      <c r="R75" s="10">
        <v>0</v>
      </c>
      <c r="S75" s="10">
        <v>1</v>
      </c>
      <c r="T75" s="10">
        <v>73</v>
      </c>
      <c r="U75" s="10">
        <v>0</v>
      </c>
      <c r="V75" s="10">
        <v>0.28571400000000002</v>
      </c>
      <c r="W75" s="10">
        <v>0.28571400000000002</v>
      </c>
    </row>
    <row r="76" spans="1:23" x14ac:dyDescent="0.15">
      <c r="A76" s="10">
        <v>1</v>
      </c>
      <c r="B76" s="10">
        <v>-29.869499999999999</v>
      </c>
      <c r="C76" s="10">
        <v>-2.6076999999999999E-8</v>
      </c>
      <c r="D76" s="10">
        <v>-2.6076999999999999E-8</v>
      </c>
      <c r="E76" s="10">
        <v>0</v>
      </c>
      <c r="F76" s="10">
        <v>1</v>
      </c>
      <c r="G76" s="10">
        <v>-1.49275E-9</v>
      </c>
      <c r="H76" s="10">
        <v>0</v>
      </c>
      <c r="I76" s="10">
        <v>0</v>
      </c>
      <c r="J76" s="10">
        <v>1.8984099999999999E-9</v>
      </c>
      <c r="K76" s="10">
        <v>0</v>
      </c>
      <c r="L76" s="10">
        <v>0</v>
      </c>
      <c r="M76" s="10">
        <v>-18.784800000000001</v>
      </c>
      <c r="N76" s="10">
        <v>0</v>
      </c>
      <c r="O76" s="10">
        <v>0</v>
      </c>
      <c r="P76" s="10">
        <v>-18.784800000000001</v>
      </c>
      <c r="Q76" s="10">
        <v>0</v>
      </c>
      <c r="R76" s="10">
        <v>0</v>
      </c>
      <c r="S76" s="10">
        <v>1</v>
      </c>
      <c r="T76" s="10">
        <v>74</v>
      </c>
      <c r="U76" s="10">
        <v>0</v>
      </c>
      <c r="V76" s="10">
        <v>0.28571400000000002</v>
      </c>
      <c r="W76" s="10">
        <v>0.28571400000000002</v>
      </c>
    </row>
    <row r="77" spans="1:23" x14ac:dyDescent="0.15">
      <c r="A77" s="10">
        <v>1</v>
      </c>
      <c r="B77" s="10">
        <v>-29.9771</v>
      </c>
      <c r="C77" s="10">
        <v>-2.6076999999999999E-8</v>
      </c>
      <c r="D77" s="10">
        <v>-2.6076999999999999E-8</v>
      </c>
      <c r="E77" s="10">
        <v>0</v>
      </c>
      <c r="F77" s="10">
        <v>1</v>
      </c>
      <c r="G77" s="10">
        <v>-1.29676E-9</v>
      </c>
      <c r="H77" s="10">
        <v>0</v>
      </c>
      <c r="I77" s="10">
        <v>0</v>
      </c>
      <c r="J77" s="10">
        <v>1.91272E-9</v>
      </c>
      <c r="K77" s="10">
        <v>0</v>
      </c>
      <c r="L77" s="10">
        <v>0</v>
      </c>
      <c r="M77" s="10">
        <v>-18.8324</v>
      </c>
      <c r="N77" s="10">
        <v>0</v>
      </c>
      <c r="O77" s="10">
        <v>0</v>
      </c>
      <c r="P77" s="10">
        <v>-18.8324</v>
      </c>
      <c r="Q77" s="10">
        <v>0</v>
      </c>
      <c r="R77" s="10">
        <v>0</v>
      </c>
      <c r="S77" s="10">
        <v>1</v>
      </c>
      <c r="T77" s="10">
        <v>75</v>
      </c>
      <c r="U77" s="10">
        <v>0</v>
      </c>
      <c r="V77" s="10">
        <v>0.28571400000000002</v>
      </c>
      <c r="W77" s="10">
        <v>0.28571400000000002</v>
      </c>
    </row>
    <row r="78" spans="1:23" x14ac:dyDescent="0.15">
      <c r="A78" s="10">
        <v>1</v>
      </c>
      <c r="B78" s="10">
        <v>-30.083500000000001</v>
      </c>
      <c r="C78" s="10">
        <v>-7.82311E-8</v>
      </c>
      <c r="D78" s="10">
        <v>-7.82311E-8</v>
      </c>
      <c r="E78" s="10">
        <v>0</v>
      </c>
      <c r="F78" s="10">
        <v>1</v>
      </c>
      <c r="G78" s="10">
        <v>-1.10064E-9</v>
      </c>
      <c r="H78" s="10">
        <v>0</v>
      </c>
      <c r="I78" s="10">
        <v>0</v>
      </c>
      <c r="J78" s="10">
        <v>1.92564E-9</v>
      </c>
      <c r="K78" s="10">
        <v>0</v>
      </c>
      <c r="L78" s="10">
        <v>0</v>
      </c>
      <c r="M78" s="10">
        <v>-18.879000000000001</v>
      </c>
      <c r="N78" s="10">
        <v>0</v>
      </c>
      <c r="O78" s="10">
        <v>0</v>
      </c>
      <c r="P78" s="10">
        <v>-18.879000000000001</v>
      </c>
      <c r="Q78" s="10">
        <v>0</v>
      </c>
      <c r="R78" s="10">
        <v>0</v>
      </c>
      <c r="S78" s="10">
        <v>1</v>
      </c>
      <c r="T78" s="10">
        <v>76</v>
      </c>
      <c r="U78" s="10">
        <v>0</v>
      </c>
      <c r="V78" s="10">
        <v>0.28571400000000002</v>
      </c>
      <c r="W78" s="10">
        <v>0.28571400000000002</v>
      </c>
    </row>
    <row r="79" spans="1:23" x14ac:dyDescent="0.15">
      <c r="A79" s="10">
        <v>1</v>
      </c>
      <c r="B79" s="10">
        <v>-30.188600000000001</v>
      </c>
      <c r="C79" s="10">
        <v>-7.82311E-8</v>
      </c>
      <c r="D79" s="10">
        <v>-7.82311E-8</v>
      </c>
      <c r="E79" s="10">
        <v>0</v>
      </c>
      <c r="F79" s="10">
        <v>1</v>
      </c>
      <c r="G79" s="10">
        <v>-9.0387400000000004E-10</v>
      </c>
      <c r="H79" s="10">
        <v>0</v>
      </c>
      <c r="I79" s="10">
        <v>0</v>
      </c>
      <c r="J79" s="10">
        <v>1.9370999999999999E-9</v>
      </c>
      <c r="K79" s="10">
        <v>0</v>
      </c>
      <c r="L79" s="10">
        <v>0</v>
      </c>
      <c r="M79" s="10">
        <v>-18.924399999999999</v>
      </c>
      <c r="N79" s="10">
        <v>0</v>
      </c>
      <c r="O79" s="10">
        <v>0</v>
      </c>
      <c r="P79" s="10">
        <v>-18.924399999999999</v>
      </c>
      <c r="Q79" s="10">
        <v>0</v>
      </c>
      <c r="R79" s="10">
        <v>0</v>
      </c>
      <c r="S79" s="10">
        <v>1</v>
      </c>
      <c r="T79" s="10">
        <v>77</v>
      </c>
      <c r="U79" s="10">
        <v>0</v>
      </c>
      <c r="V79" s="10">
        <v>0.28571400000000002</v>
      </c>
      <c r="W79" s="10">
        <v>0.28571400000000002</v>
      </c>
    </row>
    <row r="80" spans="1:23" x14ac:dyDescent="0.15">
      <c r="A80" s="10">
        <v>1</v>
      </c>
      <c r="B80" s="10">
        <v>-30.292300000000001</v>
      </c>
      <c r="C80" s="10">
        <v>-5.2154099999999997E-8</v>
      </c>
      <c r="D80" s="10">
        <v>-5.2154099999999997E-8</v>
      </c>
      <c r="E80" s="10">
        <v>0</v>
      </c>
      <c r="F80" s="10">
        <v>1</v>
      </c>
      <c r="G80" s="10">
        <v>-7.0595000000000003E-10</v>
      </c>
      <c r="H80" s="10">
        <v>0</v>
      </c>
      <c r="I80" s="10">
        <v>0</v>
      </c>
      <c r="J80" s="10">
        <v>1.9469799999999998E-9</v>
      </c>
      <c r="K80" s="10">
        <v>0</v>
      </c>
      <c r="L80" s="10">
        <v>0</v>
      </c>
      <c r="M80" s="10">
        <v>-18.968900000000001</v>
      </c>
      <c r="N80" s="10">
        <v>0</v>
      </c>
      <c r="O80" s="10">
        <v>0</v>
      </c>
      <c r="P80" s="10">
        <v>-18.968900000000001</v>
      </c>
      <c r="Q80" s="10">
        <v>0</v>
      </c>
      <c r="R80" s="10">
        <v>0</v>
      </c>
      <c r="S80" s="10">
        <v>1</v>
      </c>
      <c r="T80" s="10">
        <v>78</v>
      </c>
      <c r="U80" s="10">
        <v>0</v>
      </c>
      <c r="V80" s="10">
        <v>0.28571400000000002</v>
      </c>
      <c r="W80" s="10">
        <v>0.28571400000000002</v>
      </c>
    </row>
    <row r="81" spans="1:23" x14ac:dyDescent="0.15">
      <c r="A81" s="10">
        <v>1</v>
      </c>
      <c r="B81" s="10">
        <v>-30.3947</v>
      </c>
      <c r="C81" s="10">
        <v>-2.6076999999999999E-8</v>
      </c>
      <c r="D81" s="10">
        <v>-2.6076999999999999E-8</v>
      </c>
      <c r="E81" s="10">
        <v>0</v>
      </c>
      <c r="F81" s="10">
        <v>1</v>
      </c>
      <c r="G81" s="10">
        <v>-5.0632500000000001E-10</v>
      </c>
      <c r="H81" s="10">
        <v>0</v>
      </c>
      <c r="I81" s="10">
        <v>0</v>
      </c>
      <c r="J81" s="10">
        <v>1.9551900000000002E-9</v>
      </c>
      <c r="K81" s="10">
        <v>0</v>
      </c>
      <c r="L81" s="10">
        <v>0</v>
      </c>
      <c r="M81" s="10">
        <v>-19.0123</v>
      </c>
      <c r="N81" s="10">
        <v>0</v>
      </c>
      <c r="O81" s="10">
        <v>0</v>
      </c>
      <c r="P81" s="10">
        <v>-19.0123</v>
      </c>
      <c r="Q81" s="10">
        <v>0</v>
      </c>
      <c r="R81" s="10">
        <v>0</v>
      </c>
      <c r="S81" s="10">
        <v>1</v>
      </c>
      <c r="T81" s="10">
        <v>79</v>
      </c>
      <c r="U81" s="10">
        <v>0</v>
      </c>
      <c r="V81" s="10">
        <v>0.28571400000000002</v>
      </c>
      <c r="W81" s="10">
        <v>0.28571400000000002</v>
      </c>
    </row>
    <row r="82" spans="1:23" x14ac:dyDescent="0.15">
      <c r="A82" s="10">
        <v>1</v>
      </c>
      <c r="B82" s="10">
        <v>-30.4954</v>
      </c>
      <c r="C82" s="10">
        <v>-7.82311E-8</v>
      </c>
      <c r="D82" s="10">
        <v>-7.82311E-8</v>
      </c>
      <c r="E82" s="10">
        <v>0</v>
      </c>
      <c r="F82" s="10">
        <v>1</v>
      </c>
      <c r="G82" s="10">
        <v>-3.0443200000000002E-10</v>
      </c>
      <c r="H82" s="10">
        <v>0</v>
      </c>
      <c r="I82" s="10">
        <v>0</v>
      </c>
      <c r="J82" s="10">
        <v>1.9615399999999998E-9</v>
      </c>
      <c r="K82" s="10">
        <v>0</v>
      </c>
      <c r="L82" s="10">
        <v>0</v>
      </c>
      <c r="M82" s="10">
        <v>-19.0547</v>
      </c>
      <c r="N82" s="10">
        <v>0</v>
      </c>
      <c r="O82" s="10">
        <v>0</v>
      </c>
      <c r="P82" s="10">
        <v>-19.0547</v>
      </c>
      <c r="Q82" s="10">
        <v>0</v>
      </c>
      <c r="R82" s="10">
        <v>0</v>
      </c>
      <c r="S82" s="10">
        <v>1</v>
      </c>
      <c r="T82" s="10">
        <v>80</v>
      </c>
      <c r="U82" s="10">
        <v>0</v>
      </c>
      <c r="V82" s="10">
        <v>0.28571400000000002</v>
      </c>
      <c r="W82" s="10">
        <v>0.28571400000000002</v>
      </c>
    </row>
    <row r="83" spans="1:23" x14ac:dyDescent="0.15">
      <c r="A83" s="10">
        <v>1</v>
      </c>
      <c r="B83" s="10">
        <v>-30.5945</v>
      </c>
      <c r="C83" s="10">
        <v>-5.2154099999999997E-8</v>
      </c>
      <c r="D83" s="10">
        <v>-5.2154099999999997E-8</v>
      </c>
      <c r="E83" s="10">
        <v>0</v>
      </c>
      <c r="F83" s="10">
        <v>1</v>
      </c>
      <c r="G83" s="10">
        <v>-9.9674799999999995E-11</v>
      </c>
      <c r="H83" s="10">
        <v>0</v>
      </c>
      <c r="I83" s="10">
        <v>0</v>
      </c>
      <c r="J83" s="10">
        <v>1.96587E-9</v>
      </c>
      <c r="K83" s="10">
        <v>0</v>
      </c>
      <c r="L83" s="10">
        <v>0</v>
      </c>
      <c r="M83" s="10">
        <v>-19.096</v>
      </c>
      <c r="N83" s="10">
        <v>0</v>
      </c>
      <c r="O83" s="10">
        <v>0</v>
      </c>
      <c r="P83" s="10">
        <v>-19.096</v>
      </c>
      <c r="Q83" s="10">
        <v>0</v>
      </c>
      <c r="R83" s="10">
        <v>0</v>
      </c>
      <c r="S83" s="10">
        <v>1</v>
      </c>
      <c r="T83" s="10">
        <v>81</v>
      </c>
      <c r="U83" s="10">
        <v>0</v>
      </c>
      <c r="V83" s="10">
        <v>0.28571400000000002</v>
      </c>
      <c r="W83" s="10">
        <v>0.28571400000000002</v>
      </c>
    </row>
    <row r="84" spans="1:23" x14ac:dyDescent="0.15">
      <c r="A84" s="10">
        <v>1</v>
      </c>
      <c r="B84" s="10">
        <v>-30.6919</v>
      </c>
      <c r="C84" s="10">
        <v>-7.82311E-8</v>
      </c>
      <c r="D84" s="10">
        <v>-7.82311E-8</v>
      </c>
      <c r="E84" s="10">
        <v>0</v>
      </c>
      <c r="F84" s="10">
        <v>1</v>
      </c>
      <c r="G84" s="10">
        <v>1.0858200000000001E-10</v>
      </c>
      <c r="H84" s="10">
        <v>0</v>
      </c>
      <c r="I84" s="10">
        <v>0</v>
      </c>
      <c r="J84" s="10">
        <v>1.9679299999999998E-9</v>
      </c>
      <c r="K84" s="10">
        <v>0</v>
      </c>
      <c r="L84" s="10">
        <v>0</v>
      </c>
      <c r="M84" s="10">
        <v>-19.136199999999999</v>
      </c>
      <c r="N84" s="10">
        <v>0</v>
      </c>
      <c r="O84" s="10">
        <v>0</v>
      </c>
      <c r="P84" s="10">
        <v>-19.136199999999999</v>
      </c>
      <c r="Q84" s="10">
        <v>0</v>
      </c>
      <c r="R84" s="10">
        <v>0</v>
      </c>
      <c r="S84" s="10">
        <v>1</v>
      </c>
      <c r="T84" s="10">
        <v>82</v>
      </c>
      <c r="U84" s="10">
        <v>0</v>
      </c>
      <c r="V84" s="10">
        <v>0.28571400000000002</v>
      </c>
      <c r="W84" s="10">
        <v>0.28571400000000002</v>
      </c>
    </row>
    <row r="85" spans="1:23" x14ac:dyDescent="0.15">
      <c r="A85" s="10">
        <v>1</v>
      </c>
      <c r="B85" s="10">
        <v>-30.787400000000002</v>
      </c>
      <c r="C85" s="10">
        <v>-7.82311E-8</v>
      </c>
      <c r="D85" s="10">
        <v>-7.82311E-8</v>
      </c>
      <c r="E85" s="10">
        <v>0</v>
      </c>
      <c r="F85" s="10">
        <v>1</v>
      </c>
      <c r="G85" s="10">
        <v>3.2101399999999999E-10</v>
      </c>
      <c r="H85" s="10">
        <v>0</v>
      </c>
      <c r="I85" s="10">
        <v>0</v>
      </c>
      <c r="J85" s="10">
        <v>1.9674600000000002E-9</v>
      </c>
      <c r="K85" s="10">
        <v>0</v>
      </c>
      <c r="L85" s="10">
        <v>0</v>
      </c>
      <c r="M85" s="10">
        <v>-19.1753</v>
      </c>
      <c r="N85" s="10">
        <v>0</v>
      </c>
      <c r="O85" s="10">
        <v>0</v>
      </c>
      <c r="P85" s="10">
        <v>-19.1753</v>
      </c>
      <c r="Q85" s="10">
        <v>0</v>
      </c>
      <c r="R85" s="10">
        <v>0</v>
      </c>
      <c r="S85" s="10">
        <v>1</v>
      </c>
      <c r="T85" s="10">
        <v>83</v>
      </c>
      <c r="U85" s="10">
        <v>0</v>
      </c>
      <c r="V85" s="10">
        <v>0.28571400000000002</v>
      </c>
      <c r="W85" s="10">
        <v>0.28571400000000002</v>
      </c>
    </row>
    <row r="86" spans="1:23" x14ac:dyDescent="0.15">
      <c r="A86" s="10">
        <v>1</v>
      </c>
      <c r="B86" s="10">
        <v>-30.8809</v>
      </c>
      <c r="C86" s="10">
        <v>-7.82311E-8</v>
      </c>
      <c r="D86" s="10">
        <v>-7.82311E-8</v>
      </c>
      <c r="E86" s="10">
        <v>0</v>
      </c>
      <c r="F86" s="10">
        <v>1</v>
      </c>
      <c r="G86" s="10">
        <v>5.38349E-10</v>
      </c>
      <c r="H86" s="10">
        <v>0</v>
      </c>
      <c r="I86" s="10">
        <v>0</v>
      </c>
      <c r="J86" s="10">
        <v>1.9640999999999999E-9</v>
      </c>
      <c r="K86" s="10">
        <v>0</v>
      </c>
      <c r="L86" s="10">
        <v>0</v>
      </c>
      <c r="M86" s="10">
        <v>-19.2134</v>
      </c>
      <c r="N86" s="10">
        <v>0</v>
      </c>
      <c r="O86" s="10">
        <v>0</v>
      </c>
      <c r="P86" s="10">
        <v>-19.2134</v>
      </c>
      <c r="Q86" s="10">
        <v>0</v>
      </c>
      <c r="R86" s="10">
        <v>0</v>
      </c>
      <c r="S86" s="10">
        <v>1</v>
      </c>
      <c r="T86" s="10">
        <v>84</v>
      </c>
      <c r="U86" s="10">
        <v>0</v>
      </c>
      <c r="V86" s="10">
        <v>0.28571400000000002</v>
      </c>
      <c r="W86" s="10">
        <v>0.28571400000000002</v>
      </c>
    </row>
    <row r="87" spans="1:23" x14ac:dyDescent="0.15">
      <c r="A87" s="10">
        <v>1</v>
      </c>
      <c r="B87" s="10">
        <v>-30.972100000000001</v>
      </c>
      <c r="C87" s="10">
        <v>-1.04308E-7</v>
      </c>
      <c r="D87" s="10">
        <v>-1.04308E-7</v>
      </c>
      <c r="E87" s="10">
        <v>0</v>
      </c>
      <c r="F87" s="10">
        <v>1</v>
      </c>
      <c r="G87" s="10">
        <v>7.6136900000000002E-10</v>
      </c>
      <c r="H87" s="10">
        <v>0</v>
      </c>
      <c r="I87" s="10">
        <v>0</v>
      </c>
      <c r="J87" s="10">
        <v>1.95746E-9</v>
      </c>
      <c r="K87" s="10">
        <v>0</v>
      </c>
      <c r="L87" s="10">
        <v>0</v>
      </c>
      <c r="M87" s="10">
        <v>-19.250399999999999</v>
      </c>
      <c r="N87" s="10">
        <v>0</v>
      </c>
      <c r="O87" s="10">
        <v>0</v>
      </c>
      <c r="P87" s="10">
        <v>-19.250399999999999</v>
      </c>
      <c r="Q87" s="10">
        <v>0</v>
      </c>
      <c r="R87" s="10">
        <v>0</v>
      </c>
      <c r="S87" s="10">
        <v>1</v>
      </c>
      <c r="T87" s="10">
        <v>85</v>
      </c>
      <c r="U87" s="10">
        <v>0</v>
      </c>
      <c r="V87" s="10">
        <v>0.28571400000000002</v>
      </c>
      <c r="W87" s="10">
        <v>0.28571400000000002</v>
      </c>
    </row>
    <row r="88" spans="1:23" x14ac:dyDescent="0.15">
      <c r="A88" s="10">
        <v>1</v>
      </c>
      <c r="B88" s="10">
        <v>-31.061</v>
      </c>
      <c r="C88" s="10">
        <v>-1.04308E-7</v>
      </c>
      <c r="D88" s="10">
        <v>-1.04308E-7</v>
      </c>
      <c r="E88" s="10">
        <v>0</v>
      </c>
      <c r="F88" s="10">
        <v>1</v>
      </c>
      <c r="G88" s="10">
        <v>9.9092300000000005E-10</v>
      </c>
      <c r="H88" s="10">
        <v>0</v>
      </c>
      <c r="I88" s="10">
        <v>0</v>
      </c>
      <c r="J88" s="10">
        <v>1.9470499999999998E-9</v>
      </c>
      <c r="K88" s="10">
        <v>0</v>
      </c>
      <c r="L88" s="10">
        <v>0</v>
      </c>
      <c r="M88" s="10">
        <v>-19.286300000000001</v>
      </c>
      <c r="N88" s="10">
        <v>0</v>
      </c>
      <c r="O88" s="10">
        <v>0</v>
      </c>
      <c r="P88" s="10">
        <v>-19.286300000000001</v>
      </c>
      <c r="Q88" s="10">
        <v>0</v>
      </c>
      <c r="R88" s="10">
        <v>0</v>
      </c>
      <c r="S88" s="10">
        <v>1</v>
      </c>
      <c r="T88" s="10">
        <v>86</v>
      </c>
      <c r="U88" s="10">
        <v>0</v>
      </c>
      <c r="V88" s="10">
        <v>0.28571400000000002</v>
      </c>
      <c r="W88" s="10">
        <v>0.28571400000000002</v>
      </c>
    </row>
    <row r="89" spans="1:23" x14ac:dyDescent="0.15">
      <c r="A89" s="10">
        <v>1</v>
      </c>
      <c r="B89" s="10">
        <v>-31.147300000000001</v>
      </c>
      <c r="C89" s="10">
        <v>-5.2154099999999997E-8</v>
      </c>
      <c r="D89" s="10">
        <v>-5.2154099999999997E-8</v>
      </c>
      <c r="E89" s="10">
        <v>0</v>
      </c>
      <c r="F89" s="10">
        <v>1</v>
      </c>
      <c r="G89" s="10">
        <v>1.2279299999999999E-9</v>
      </c>
      <c r="H89" s="10">
        <v>0</v>
      </c>
      <c r="I89" s="10">
        <v>0</v>
      </c>
      <c r="J89" s="10">
        <v>1.93227E-9</v>
      </c>
      <c r="K89" s="10">
        <v>0</v>
      </c>
      <c r="L89" s="10">
        <v>0</v>
      </c>
      <c r="M89" s="10">
        <v>-19.321200000000001</v>
      </c>
      <c r="N89" s="10">
        <v>0</v>
      </c>
      <c r="O89" s="10">
        <v>0</v>
      </c>
      <c r="P89" s="10">
        <v>-19.321200000000001</v>
      </c>
      <c r="Q89" s="10">
        <v>0</v>
      </c>
      <c r="R89" s="10">
        <v>0</v>
      </c>
      <c r="S89" s="10">
        <v>1</v>
      </c>
      <c r="T89" s="10">
        <v>87</v>
      </c>
      <c r="U89" s="10">
        <v>0</v>
      </c>
      <c r="V89" s="10">
        <v>0.28571400000000002</v>
      </c>
      <c r="W89" s="10">
        <v>0.28571400000000002</v>
      </c>
    </row>
    <row r="90" spans="1:23" x14ac:dyDescent="0.15">
      <c r="A90" s="10">
        <v>1</v>
      </c>
      <c r="B90" s="10">
        <v>-31.230699999999999</v>
      </c>
      <c r="C90" s="10">
        <v>-7.82311E-8</v>
      </c>
      <c r="D90" s="10">
        <v>-7.82311E-8</v>
      </c>
      <c r="E90" s="10">
        <v>0</v>
      </c>
      <c r="F90" s="10">
        <v>1</v>
      </c>
      <c r="G90" s="10">
        <v>1.47341E-9</v>
      </c>
      <c r="H90" s="10">
        <v>0</v>
      </c>
      <c r="I90" s="10">
        <v>0</v>
      </c>
      <c r="J90" s="10">
        <v>1.9124300000000002E-9</v>
      </c>
      <c r="K90" s="10">
        <v>0</v>
      </c>
      <c r="L90" s="10">
        <v>0</v>
      </c>
      <c r="M90" s="10">
        <v>-19.3552</v>
      </c>
      <c r="N90" s="10">
        <v>8.8661399999999997E-7</v>
      </c>
      <c r="O90" s="10">
        <v>8.8661399999999997E-7</v>
      </c>
      <c r="P90" s="10">
        <v>-19.3552</v>
      </c>
      <c r="Q90" s="10">
        <v>8.8661399999999997E-7</v>
      </c>
      <c r="R90" s="10">
        <v>8.8661399999999997E-7</v>
      </c>
      <c r="S90" s="10">
        <v>1</v>
      </c>
      <c r="T90" s="10">
        <v>88</v>
      </c>
      <c r="U90" s="10">
        <v>0</v>
      </c>
      <c r="V90" s="10">
        <v>0.28571400000000002</v>
      </c>
      <c r="W90" s="10">
        <v>0.28571400000000002</v>
      </c>
    </row>
    <row r="91" spans="1:23" x14ac:dyDescent="0.15">
      <c r="A91" s="10">
        <v>1</v>
      </c>
      <c r="B91" s="10">
        <v>-31.3111</v>
      </c>
      <c r="C91" s="10">
        <v>-1.04308E-7</v>
      </c>
      <c r="D91" s="10">
        <v>-1.04308E-7</v>
      </c>
      <c r="E91" s="10">
        <v>0</v>
      </c>
      <c r="F91" s="10">
        <v>1</v>
      </c>
      <c r="G91" s="10">
        <v>1.72845E-9</v>
      </c>
      <c r="H91" s="10">
        <v>0</v>
      </c>
      <c r="I91" s="10">
        <v>0</v>
      </c>
      <c r="J91" s="10">
        <v>1.8866600000000002E-9</v>
      </c>
      <c r="K91" s="10">
        <v>0</v>
      </c>
      <c r="L91" s="10">
        <v>0</v>
      </c>
      <c r="M91" s="10">
        <v>-19.388200000000001</v>
      </c>
      <c r="N91" s="10">
        <v>0</v>
      </c>
      <c r="O91" s="10">
        <v>0</v>
      </c>
      <c r="P91" s="10">
        <v>-19.388200000000001</v>
      </c>
      <c r="Q91" s="10">
        <v>0</v>
      </c>
      <c r="R91" s="10">
        <v>0</v>
      </c>
      <c r="S91" s="10">
        <v>1</v>
      </c>
      <c r="T91" s="10">
        <v>89</v>
      </c>
      <c r="U91" s="10">
        <v>0</v>
      </c>
      <c r="V91" s="10">
        <v>0.28571400000000002</v>
      </c>
      <c r="W91" s="10">
        <v>0.28571400000000002</v>
      </c>
    </row>
    <row r="92" spans="1:23" x14ac:dyDescent="0.15">
      <c r="A92" s="10">
        <v>1</v>
      </c>
      <c r="B92" s="10">
        <v>-31.388100000000001</v>
      </c>
      <c r="C92" s="10">
        <v>-5.2154099999999997E-8</v>
      </c>
      <c r="D92" s="10">
        <v>-5.2154099999999997E-8</v>
      </c>
      <c r="E92" s="10">
        <v>0</v>
      </c>
      <c r="F92" s="10">
        <v>1</v>
      </c>
      <c r="G92" s="10">
        <v>1.9942399999999999E-9</v>
      </c>
      <c r="H92" s="10">
        <v>0</v>
      </c>
      <c r="I92" s="10">
        <v>0</v>
      </c>
      <c r="J92" s="10">
        <v>1.85393E-9</v>
      </c>
      <c r="K92" s="10">
        <v>0</v>
      </c>
      <c r="L92" s="10">
        <v>0</v>
      </c>
      <c r="M92" s="10">
        <v>-19.420200000000001</v>
      </c>
      <c r="N92" s="10">
        <v>8.8661399999999997E-7</v>
      </c>
      <c r="O92" s="10">
        <v>8.8661399999999997E-7</v>
      </c>
      <c r="P92" s="10">
        <v>-19.420200000000001</v>
      </c>
      <c r="Q92" s="10">
        <v>8.8661399999999997E-7</v>
      </c>
      <c r="R92" s="10">
        <v>8.8661399999999997E-7</v>
      </c>
      <c r="S92" s="10">
        <v>1</v>
      </c>
      <c r="T92" s="10">
        <v>90</v>
      </c>
      <c r="U92" s="10">
        <v>0</v>
      </c>
      <c r="V92" s="10">
        <v>0.28571400000000002</v>
      </c>
      <c r="W92" s="10">
        <v>0.28571400000000002</v>
      </c>
    </row>
    <row r="93" spans="1:23" x14ac:dyDescent="0.15">
      <c r="A93" s="10">
        <v>1</v>
      </c>
      <c r="B93" s="10">
        <v>-31.461300000000001</v>
      </c>
      <c r="C93" s="10">
        <v>-7.82311E-8</v>
      </c>
      <c r="D93" s="10">
        <v>-7.82311E-8</v>
      </c>
      <c r="E93" s="10">
        <v>0</v>
      </c>
      <c r="F93" s="10">
        <v>1</v>
      </c>
      <c r="G93" s="10">
        <v>2.2721300000000001E-9</v>
      </c>
      <c r="H93" s="10">
        <v>0</v>
      </c>
      <c r="I93" s="10">
        <v>0</v>
      </c>
      <c r="J93" s="10">
        <v>1.8129800000000001E-9</v>
      </c>
      <c r="K93" s="10">
        <v>0</v>
      </c>
      <c r="L93" s="10">
        <v>0</v>
      </c>
      <c r="M93" s="10">
        <v>-19.4514</v>
      </c>
      <c r="N93" s="10">
        <v>0</v>
      </c>
      <c r="O93" s="10">
        <v>0</v>
      </c>
      <c r="P93" s="10">
        <v>-19.4514</v>
      </c>
      <c r="Q93" s="10">
        <v>0</v>
      </c>
      <c r="R93" s="10">
        <v>0</v>
      </c>
      <c r="S93" s="10">
        <v>1</v>
      </c>
      <c r="T93" s="10">
        <v>91</v>
      </c>
      <c r="U93" s="10">
        <v>0</v>
      </c>
      <c r="V93" s="10">
        <v>0.28571400000000002</v>
      </c>
      <c r="W93" s="10">
        <v>0.28571400000000002</v>
      </c>
    </row>
    <row r="94" spans="1:23" x14ac:dyDescent="0.15">
      <c r="A94" s="10">
        <v>1</v>
      </c>
      <c r="B94" s="10">
        <v>-31.5303</v>
      </c>
      <c r="C94" s="10">
        <v>-7.82311E-8</v>
      </c>
      <c r="D94" s="10">
        <v>-7.82311E-8</v>
      </c>
      <c r="E94" s="10">
        <v>0</v>
      </c>
      <c r="F94" s="10">
        <v>1</v>
      </c>
      <c r="G94" s="10">
        <v>2.5635199999999998E-9</v>
      </c>
      <c r="H94" s="10">
        <v>0</v>
      </c>
      <c r="I94" s="10">
        <v>0</v>
      </c>
      <c r="J94" s="10">
        <v>1.76227E-9</v>
      </c>
      <c r="K94" s="10">
        <v>0</v>
      </c>
      <c r="L94" s="10">
        <v>0</v>
      </c>
      <c r="M94" s="10">
        <v>-19.4819</v>
      </c>
      <c r="N94" s="10">
        <v>0</v>
      </c>
      <c r="O94" s="10">
        <v>0</v>
      </c>
      <c r="P94" s="10">
        <v>-19.4819</v>
      </c>
      <c r="Q94" s="10">
        <v>0</v>
      </c>
      <c r="R94" s="10">
        <v>0</v>
      </c>
      <c r="S94" s="10">
        <v>1</v>
      </c>
      <c r="T94" s="10">
        <v>92</v>
      </c>
      <c r="U94" s="10">
        <v>0</v>
      </c>
      <c r="V94" s="10">
        <v>0.28571400000000002</v>
      </c>
      <c r="W94" s="10">
        <v>0.28571400000000002</v>
      </c>
    </row>
    <row r="95" spans="1:23" x14ac:dyDescent="0.15">
      <c r="A95" s="10">
        <v>1</v>
      </c>
      <c r="B95" s="10">
        <v>-31.5947</v>
      </c>
      <c r="C95" s="10">
        <v>-7.82311E-8</v>
      </c>
      <c r="D95" s="10">
        <v>-7.82311E-8</v>
      </c>
      <c r="E95" s="10">
        <v>0</v>
      </c>
      <c r="F95" s="10">
        <v>1</v>
      </c>
      <c r="G95" s="10">
        <v>2.8700100000000001E-9</v>
      </c>
      <c r="H95" s="10">
        <v>0</v>
      </c>
      <c r="I95" s="10">
        <v>0</v>
      </c>
      <c r="J95" s="10">
        <v>1.6999299999999999E-9</v>
      </c>
      <c r="K95" s="10">
        <v>0</v>
      </c>
      <c r="L95" s="10">
        <v>0</v>
      </c>
      <c r="M95" s="10">
        <v>-19.511900000000001</v>
      </c>
      <c r="N95" s="10">
        <v>0</v>
      </c>
      <c r="O95" s="10">
        <v>0</v>
      </c>
      <c r="P95" s="10">
        <v>-19.511900000000001</v>
      </c>
      <c r="Q95" s="10">
        <v>0</v>
      </c>
      <c r="R95" s="10">
        <v>0</v>
      </c>
      <c r="S95" s="10">
        <v>1</v>
      </c>
      <c r="T95" s="10">
        <v>93</v>
      </c>
      <c r="U95" s="10">
        <v>0</v>
      </c>
      <c r="V95" s="10">
        <v>0.28571400000000002</v>
      </c>
      <c r="W95" s="10">
        <v>0.28571400000000002</v>
      </c>
    </row>
    <row r="96" spans="1:23" x14ac:dyDescent="0.15">
      <c r="A96" s="10">
        <v>1</v>
      </c>
      <c r="B96" s="10">
        <v>-31.654</v>
      </c>
      <c r="C96" s="10">
        <v>-5.2154099999999997E-8</v>
      </c>
      <c r="D96" s="10">
        <v>-5.2154099999999997E-8</v>
      </c>
      <c r="E96" s="10">
        <v>0</v>
      </c>
      <c r="F96" s="10">
        <v>1</v>
      </c>
      <c r="G96" s="10">
        <v>3.19328E-9</v>
      </c>
      <c r="H96" s="10">
        <v>0</v>
      </c>
      <c r="I96" s="10">
        <v>0</v>
      </c>
      <c r="J96" s="10">
        <v>1.62366E-9</v>
      </c>
      <c r="K96" s="10">
        <v>0</v>
      </c>
      <c r="L96" s="10">
        <v>0</v>
      </c>
      <c r="M96" s="10">
        <v>-19.541499999999999</v>
      </c>
      <c r="N96" s="10">
        <v>0</v>
      </c>
      <c r="O96" s="10">
        <v>0</v>
      </c>
      <c r="P96" s="10">
        <v>-19.541499999999999</v>
      </c>
      <c r="Q96" s="10">
        <v>0</v>
      </c>
      <c r="R96" s="10">
        <v>0</v>
      </c>
      <c r="S96" s="10">
        <v>1</v>
      </c>
      <c r="T96" s="10">
        <v>94</v>
      </c>
      <c r="U96" s="10">
        <v>0</v>
      </c>
      <c r="V96" s="10">
        <v>0.28571400000000002</v>
      </c>
      <c r="W96" s="10">
        <v>0.28571400000000002</v>
      </c>
    </row>
    <row r="97" spans="1:23" x14ac:dyDescent="0.15">
      <c r="A97" s="10">
        <v>1</v>
      </c>
      <c r="B97" s="10">
        <v>-31.7074</v>
      </c>
      <c r="C97" s="10">
        <v>-7.82311E-8</v>
      </c>
      <c r="D97" s="10">
        <v>-7.82311E-8</v>
      </c>
      <c r="E97" s="10">
        <v>0</v>
      </c>
      <c r="F97" s="10">
        <v>1</v>
      </c>
      <c r="G97" s="10">
        <v>3.5351500000000001E-9</v>
      </c>
      <c r="H97" s="10">
        <v>0</v>
      </c>
      <c r="I97" s="10">
        <v>0</v>
      </c>
      <c r="J97" s="10">
        <v>1.53062E-9</v>
      </c>
      <c r="K97" s="10">
        <v>0</v>
      </c>
      <c r="L97" s="10">
        <v>0</v>
      </c>
      <c r="M97" s="10">
        <v>-19.571100000000001</v>
      </c>
      <c r="N97" s="10">
        <v>1.7732100000000001E-6</v>
      </c>
      <c r="O97" s="10">
        <v>1.7732100000000001E-6</v>
      </c>
      <c r="P97" s="10">
        <v>-19.571100000000001</v>
      </c>
      <c r="Q97" s="10">
        <v>1.7732100000000001E-6</v>
      </c>
      <c r="R97" s="10">
        <v>1.7732100000000001E-6</v>
      </c>
      <c r="S97" s="10">
        <v>1</v>
      </c>
      <c r="T97" s="10">
        <v>95</v>
      </c>
      <c r="U97" s="10">
        <v>0</v>
      </c>
      <c r="V97" s="10">
        <v>0.28571400000000002</v>
      </c>
      <c r="W97" s="10">
        <v>0.28571400000000002</v>
      </c>
    </row>
    <row r="98" spans="1:23" x14ac:dyDescent="0.15">
      <c r="A98" s="10">
        <v>1</v>
      </c>
      <c r="B98" s="10">
        <v>-31.7544</v>
      </c>
      <c r="C98" s="10">
        <v>-2.6076999999999999E-8</v>
      </c>
      <c r="D98" s="10">
        <v>-2.6076999999999999E-8</v>
      </c>
      <c r="E98" s="10">
        <v>0</v>
      </c>
      <c r="F98" s="10">
        <v>1</v>
      </c>
      <c r="G98" s="10">
        <v>3.8975200000000004E-9</v>
      </c>
      <c r="H98" s="10">
        <v>0</v>
      </c>
      <c r="I98" s="10">
        <v>0</v>
      </c>
      <c r="J98" s="10">
        <v>1.4173000000000001E-9</v>
      </c>
      <c r="K98" s="10">
        <v>0</v>
      </c>
      <c r="L98" s="10">
        <v>0</v>
      </c>
      <c r="M98" s="10">
        <v>-19.600999999999999</v>
      </c>
      <c r="N98" s="10">
        <v>0</v>
      </c>
      <c r="O98" s="10">
        <v>0</v>
      </c>
      <c r="P98" s="10">
        <v>-19.600999999999999</v>
      </c>
      <c r="Q98" s="10">
        <v>0</v>
      </c>
      <c r="R98" s="10">
        <v>0</v>
      </c>
      <c r="S98" s="10">
        <v>1</v>
      </c>
      <c r="T98" s="10">
        <v>96</v>
      </c>
      <c r="U98" s="10">
        <v>0</v>
      </c>
      <c r="V98" s="10">
        <v>0.28571400000000002</v>
      </c>
      <c r="W98" s="10">
        <v>0.28571400000000002</v>
      </c>
    </row>
    <row r="99" spans="1:23" x14ac:dyDescent="0.15">
      <c r="A99" s="10">
        <v>1</v>
      </c>
      <c r="B99" s="10">
        <v>-31.794</v>
      </c>
      <c r="C99" s="10">
        <v>-7.82311E-8</v>
      </c>
      <c r="D99" s="10">
        <v>-7.82311E-8</v>
      </c>
      <c r="E99" s="10">
        <v>0</v>
      </c>
      <c r="F99" s="10">
        <v>1</v>
      </c>
      <c r="G99" s="10">
        <v>4.2823800000000003E-9</v>
      </c>
      <c r="H99" s="10">
        <v>0</v>
      </c>
      <c r="I99" s="10">
        <v>0</v>
      </c>
      <c r="J99" s="10">
        <v>1.2793499999999999E-9</v>
      </c>
      <c r="K99" s="10">
        <v>0</v>
      </c>
      <c r="L99" s="10">
        <v>0</v>
      </c>
      <c r="M99" s="10">
        <v>-19.631699999999999</v>
      </c>
      <c r="N99" s="10">
        <v>0</v>
      </c>
      <c r="O99" s="10">
        <v>0</v>
      </c>
      <c r="P99" s="10">
        <v>-19.631699999999999</v>
      </c>
      <c r="Q99" s="10">
        <v>0</v>
      </c>
      <c r="R99" s="10">
        <v>0</v>
      </c>
      <c r="S99" s="10">
        <v>1</v>
      </c>
      <c r="T99" s="10">
        <v>97</v>
      </c>
      <c r="U99" s="10">
        <v>0</v>
      </c>
      <c r="V99" s="10">
        <v>0.28571400000000002</v>
      </c>
      <c r="W99" s="10">
        <v>0.28571400000000002</v>
      </c>
    </row>
    <row r="100" spans="1:23" x14ac:dyDescent="0.15">
      <c r="A100" s="10">
        <v>1</v>
      </c>
      <c r="B100" s="10">
        <v>-31.825399999999998</v>
      </c>
      <c r="C100" s="10">
        <v>-2.6076999999999999E-8</v>
      </c>
      <c r="D100" s="10">
        <v>-2.6076999999999999E-8</v>
      </c>
      <c r="E100" s="10">
        <v>0</v>
      </c>
      <c r="F100" s="10">
        <v>1</v>
      </c>
      <c r="G100" s="10">
        <v>4.6916300000000003E-9</v>
      </c>
      <c r="H100" s="10">
        <v>0</v>
      </c>
      <c r="I100" s="10">
        <v>0</v>
      </c>
      <c r="J100" s="10">
        <v>1.11136E-9</v>
      </c>
      <c r="K100" s="10">
        <v>0</v>
      </c>
      <c r="L100" s="10">
        <v>0</v>
      </c>
      <c r="M100" s="10">
        <v>-19.664100000000001</v>
      </c>
      <c r="N100" s="10">
        <v>0</v>
      </c>
      <c r="O100" s="10">
        <v>0</v>
      </c>
      <c r="P100" s="10">
        <v>-19.664100000000001</v>
      </c>
      <c r="Q100" s="10">
        <v>0</v>
      </c>
      <c r="R100" s="10">
        <v>0</v>
      </c>
      <c r="S100" s="10">
        <v>1</v>
      </c>
      <c r="T100" s="10">
        <v>98</v>
      </c>
      <c r="U100" s="10">
        <v>0</v>
      </c>
      <c r="V100" s="10">
        <v>0.28571400000000002</v>
      </c>
      <c r="W100" s="10">
        <v>0.28571400000000002</v>
      </c>
    </row>
    <row r="101" spans="1:23" x14ac:dyDescent="0.15">
      <c r="A101" s="10">
        <v>1</v>
      </c>
      <c r="B101" s="10">
        <v>-31.8475</v>
      </c>
      <c r="C101" s="10">
        <v>-1.04308E-7</v>
      </c>
      <c r="D101" s="10">
        <v>-1.04308E-7</v>
      </c>
      <c r="E101" s="10">
        <v>0</v>
      </c>
      <c r="F101" s="10">
        <v>1</v>
      </c>
      <c r="G101" s="10">
        <v>5.1270100000000001E-9</v>
      </c>
      <c r="H101" s="10">
        <v>0</v>
      </c>
      <c r="I101" s="10">
        <v>0</v>
      </c>
      <c r="J101" s="10">
        <v>9.0657500000000005E-10</v>
      </c>
      <c r="K101" s="10">
        <v>0</v>
      </c>
      <c r="L101" s="10">
        <v>0</v>
      </c>
      <c r="M101" s="10">
        <v>-19.699000000000002</v>
      </c>
      <c r="N101" s="10">
        <v>0</v>
      </c>
      <c r="O101" s="10">
        <v>0</v>
      </c>
      <c r="P101" s="10">
        <v>-19.699000000000002</v>
      </c>
      <c r="Q101" s="10">
        <v>0</v>
      </c>
      <c r="R101" s="10">
        <v>0</v>
      </c>
      <c r="S101" s="10">
        <v>1</v>
      </c>
      <c r="T101" s="10">
        <v>99</v>
      </c>
      <c r="U101" s="10">
        <v>0</v>
      </c>
      <c r="V101" s="10">
        <v>0.28571400000000002</v>
      </c>
      <c r="W101" s="10">
        <v>0.28571400000000002</v>
      </c>
    </row>
    <row r="102" spans="1:23" x14ac:dyDescent="0.15">
      <c r="A102" s="10">
        <v>1</v>
      </c>
      <c r="B102" s="10">
        <v>-31.859200000000001</v>
      </c>
      <c r="C102" s="10">
        <v>-1.04308E-7</v>
      </c>
      <c r="D102" s="10">
        <v>-1.04308E-7</v>
      </c>
      <c r="E102" s="10">
        <v>0</v>
      </c>
      <c r="F102" s="10">
        <v>1</v>
      </c>
      <c r="G102" s="10">
        <v>5.5898300000000003E-9</v>
      </c>
      <c r="H102" s="10">
        <v>0</v>
      </c>
      <c r="I102" s="10">
        <v>0</v>
      </c>
      <c r="J102" s="10">
        <v>6.5658300000000005E-10</v>
      </c>
      <c r="K102" s="10">
        <v>0</v>
      </c>
      <c r="L102" s="10">
        <v>0</v>
      </c>
      <c r="M102" s="10">
        <v>-19.7377</v>
      </c>
      <c r="N102" s="10">
        <v>0</v>
      </c>
      <c r="O102" s="10">
        <v>0</v>
      </c>
      <c r="P102" s="10">
        <v>-19.7377</v>
      </c>
      <c r="Q102" s="10">
        <v>0</v>
      </c>
      <c r="R102" s="10">
        <v>0</v>
      </c>
      <c r="S102" s="10">
        <v>1</v>
      </c>
      <c r="T102" s="10">
        <v>100</v>
      </c>
      <c r="U102" s="10">
        <v>0</v>
      </c>
      <c r="V102" s="10">
        <v>0.28571400000000002</v>
      </c>
      <c r="W102" s="10">
        <v>0.28571400000000002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102"/>
  <sheetViews>
    <sheetView workbookViewId="0"/>
  </sheetViews>
  <sheetFormatPr defaultRowHeight="13.5" x14ac:dyDescent="0.15"/>
  <sheetData>
    <row r="1" spans="1:23" x14ac:dyDescent="0.15">
      <c r="A1" s="8" t="s">
        <v>109</v>
      </c>
      <c r="B1" s="8" t="s">
        <v>124</v>
      </c>
      <c r="C1" s="8" t="s">
        <v>125</v>
      </c>
      <c r="D1" s="8" t="s">
        <v>126</v>
      </c>
      <c r="E1" s="8" t="s">
        <v>113</v>
      </c>
      <c r="F1" s="8" t="s">
        <v>114</v>
      </c>
      <c r="G1" s="8" t="s">
        <v>115</v>
      </c>
      <c r="H1" s="8" t="s">
        <v>116</v>
      </c>
      <c r="I1" s="8" t="s">
        <v>117</v>
      </c>
      <c r="J1" s="8" t="s">
        <v>118</v>
      </c>
      <c r="K1" s="8" t="s">
        <v>119</v>
      </c>
      <c r="L1" s="8" t="s">
        <v>120</v>
      </c>
      <c r="M1" s="8" t="s">
        <v>121</v>
      </c>
      <c r="N1" s="8" t="s">
        <v>122</v>
      </c>
      <c r="O1" s="8" t="s">
        <v>123</v>
      </c>
      <c r="P1" s="8" t="s">
        <v>110</v>
      </c>
      <c r="Q1" s="8" t="s">
        <v>111</v>
      </c>
      <c r="R1" s="8" t="s">
        <v>112</v>
      </c>
      <c r="S1" s="8" t="s">
        <v>127</v>
      </c>
      <c r="T1" s="8" t="s">
        <v>128</v>
      </c>
      <c r="U1" s="8" t="s">
        <v>129</v>
      </c>
      <c r="V1" s="8" t="s">
        <v>130</v>
      </c>
      <c r="W1" s="8" t="s">
        <v>131</v>
      </c>
    </row>
    <row r="2" spans="1:23" x14ac:dyDescent="0.15">
      <c r="A2" s="8">
        <v>1</v>
      </c>
      <c r="B2" s="8">
        <v>-17.251000000000001</v>
      </c>
      <c r="C2" s="9">
        <v>-5.9851000000000002E-15</v>
      </c>
      <c r="D2" s="9">
        <v>-1.197E-14</v>
      </c>
      <c r="E2" s="8">
        <v>0</v>
      </c>
      <c r="F2" s="8">
        <v>1</v>
      </c>
      <c r="G2" s="9">
        <v>2.9250999999999998E-8</v>
      </c>
      <c r="H2" s="8">
        <v>0</v>
      </c>
      <c r="I2" s="8">
        <v>0</v>
      </c>
      <c r="J2" s="9">
        <v>3.9214000000000001E-9</v>
      </c>
      <c r="K2" s="8">
        <v>0</v>
      </c>
      <c r="L2" s="8">
        <v>0</v>
      </c>
      <c r="M2" s="8">
        <v>-19.024999999999999</v>
      </c>
      <c r="N2" s="9">
        <v>-6.6008000000000003E-15</v>
      </c>
      <c r="O2" s="9">
        <v>-1.3202E-14</v>
      </c>
      <c r="P2" s="8">
        <v>-19.024999999999999</v>
      </c>
      <c r="Q2" s="9">
        <v>-6.6008000000000003E-15</v>
      </c>
      <c r="R2" s="9">
        <v>-1.3202E-14</v>
      </c>
      <c r="S2" s="8">
        <v>1</v>
      </c>
      <c r="T2" s="8">
        <v>0</v>
      </c>
      <c r="U2" s="8">
        <v>0</v>
      </c>
      <c r="V2" s="8">
        <v>0.25</v>
      </c>
      <c r="W2" s="8">
        <v>0.3</v>
      </c>
    </row>
    <row r="3" spans="1:23" x14ac:dyDescent="0.15">
      <c r="A3" s="8">
        <v>1</v>
      </c>
      <c r="B3" s="8">
        <v>-17.433</v>
      </c>
      <c r="C3" s="9">
        <v>-6.0484000000000002E-15</v>
      </c>
      <c r="D3" s="9">
        <v>-1.2097000000000001E-14</v>
      </c>
      <c r="E3" s="8">
        <v>0</v>
      </c>
      <c r="F3" s="8">
        <v>1</v>
      </c>
      <c r="G3" s="9">
        <v>3.0870999999999999E-8</v>
      </c>
      <c r="H3" s="8">
        <v>0</v>
      </c>
      <c r="I3" s="8">
        <v>0</v>
      </c>
      <c r="J3" s="9">
        <v>3.4841E-9</v>
      </c>
      <c r="K3" s="8">
        <v>0</v>
      </c>
      <c r="L3" s="8">
        <v>0</v>
      </c>
      <c r="M3" s="8">
        <v>-19.213999999999999</v>
      </c>
      <c r="N3" s="9">
        <v>-6.6663000000000003E-15</v>
      </c>
      <c r="O3" s="9">
        <v>-1.3333E-14</v>
      </c>
      <c r="P3" s="8">
        <v>-19.213999999999999</v>
      </c>
      <c r="Q3" s="9">
        <v>-6.6663000000000003E-15</v>
      </c>
      <c r="R3" s="9">
        <v>-1.3333E-14</v>
      </c>
      <c r="S3" s="8">
        <v>1</v>
      </c>
      <c r="T3" s="8">
        <v>1</v>
      </c>
      <c r="U3" s="8">
        <v>0</v>
      </c>
      <c r="V3" s="8">
        <v>0.25</v>
      </c>
      <c r="W3" s="8">
        <v>0.3</v>
      </c>
    </row>
    <row r="4" spans="1:23" x14ac:dyDescent="0.15">
      <c r="A4" s="8">
        <v>1</v>
      </c>
      <c r="B4" s="8">
        <v>-17.620999999999999</v>
      </c>
      <c r="C4" s="9">
        <v>-6.1134000000000003E-15</v>
      </c>
      <c r="D4" s="9">
        <v>-1.2226999999999999E-14</v>
      </c>
      <c r="E4" s="8">
        <v>0</v>
      </c>
      <c r="F4" s="8">
        <v>1</v>
      </c>
      <c r="G4" s="9">
        <v>3.2689999999999997E-8</v>
      </c>
      <c r="H4" s="8">
        <v>0</v>
      </c>
      <c r="I4" s="8">
        <v>0</v>
      </c>
      <c r="J4" s="9">
        <v>2.9746E-9</v>
      </c>
      <c r="K4" s="8">
        <v>0</v>
      </c>
      <c r="L4" s="8">
        <v>0</v>
      </c>
      <c r="M4" s="8">
        <v>-19.39</v>
      </c>
      <c r="N4" s="9">
        <v>-6.7272000000000001E-15</v>
      </c>
      <c r="O4" s="9">
        <v>-1.3454E-14</v>
      </c>
      <c r="P4" s="8">
        <v>-19.39</v>
      </c>
      <c r="Q4" s="9">
        <v>-6.7272000000000001E-15</v>
      </c>
      <c r="R4" s="9">
        <v>-1.3454E-14</v>
      </c>
      <c r="S4" s="8">
        <v>1</v>
      </c>
      <c r="T4" s="8">
        <v>2</v>
      </c>
      <c r="U4" s="8">
        <v>0</v>
      </c>
      <c r="V4" s="8">
        <v>0.25</v>
      </c>
      <c r="W4" s="8">
        <v>0.3</v>
      </c>
    </row>
    <row r="5" spans="1:23" x14ac:dyDescent="0.15">
      <c r="A5" s="8">
        <v>1</v>
      </c>
      <c r="B5" s="8">
        <v>-17.812999999999999</v>
      </c>
      <c r="C5" s="9">
        <v>-6.2906000000000001E-16</v>
      </c>
      <c r="D5" s="9">
        <v>-1.2581000000000001E-15</v>
      </c>
      <c r="E5" s="8">
        <v>0</v>
      </c>
      <c r="F5" s="8">
        <v>1</v>
      </c>
      <c r="G5" s="9">
        <v>3.4750999999999998E-8</v>
      </c>
      <c r="H5" s="8">
        <v>0</v>
      </c>
      <c r="I5" s="8">
        <v>0</v>
      </c>
      <c r="J5" s="9">
        <v>2.3677E-9</v>
      </c>
      <c r="K5" s="8">
        <v>0</v>
      </c>
      <c r="L5" s="8">
        <v>0</v>
      </c>
      <c r="M5" s="8">
        <v>-19.552</v>
      </c>
      <c r="N5" s="9">
        <v>-6.7833999999999997E-15</v>
      </c>
      <c r="O5" s="9">
        <v>-1.3567E-14</v>
      </c>
      <c r="P5" s="8">
        <v>-19.552</v>
      </c>
      <c r="Q5" s="9">
        <v>-6.7833999999999997E-15</v>
      </c>
      <c r="R5" s="9">
        <v>-1.3567E-14</v>
      </c>
      <c r="S5" s="8">
        <v>1</v>
      </c>
      <c r="T5" s="8">
        <v>3</v>
      </c>
      <c r="U5" s="8">
        <v>0</v>
      </c>
      <c r="V5" s="8">
        <v>0.25</v>
      </c>
      <c r="W5" s="8">
        <v>0.3</v>
      </c>
    </row>
    <row r="6" spans="1:23" x14ac:dyDescent="0.15">
      <c r="A6" s="8">
        <v>1</v>
      </c>
      <c r="B6" s="8">
        <v>-18.010999999999999</v>
      </c>
      <c r="C6" s="9">
        <v>-6.2488000000000001E-15</v>
      </c>
      <c r="D6" s="9">
        <v>-1.2498000000000001E-14</v>
      </c>
      <c r="E6" s="8">
        <v>0</v>
      </c>
      <c r="F6" s="8">
        <v>1</v>
      </c>
      <c r="G6" s="9">
        <v>3.7107000000000003E-8</v>
      </c>
      <c r="H6" s="8">
        <v>0</v>
      </c>
      <c r="I6" s="8">
        <v>0</v>
      </c>
      <c r="J6" s="9">
        <v>1.6283000000000001E-9</v>
      </c>
      <c r="K6" s="8">
        <v>0</v>
      </c>
      <c r="L6" s="8">
        <v>0</v>
      </c>
      <c r="M6" s="8">
        <v>-19.699000000000002</v>
      </c>
      <c r="N6" s="9">
        <v>-6.8345000000000001E-15</v>
      </c>
      <c r="O6" s="9">
        <v>-1.3669E-14</v>
      </c>
      <c r="P6" s="8">
        <v>-19.699000000000002</v>
      </c>
      <c r="Q6" s="9">
        <v>-6.8345000000000001E-15</v>
      </c>
      <c r="R6" s="9">
        <v>-1.3669E-14</v>
      </c>
      <c r="S6" s="8">
        <v>1</v>
      </c>
      <c r="T6" s="8">
        <v>4</v>
      </c>
      <c r="U6" s="8">
        <v>0</v>
      </c>
      <c r="V6" s="8">
        <v>0.25</v>
      </c>
      <c r="W6" s="8">
        <v>0.3</v>
      </c>
    </row>
    <row r="7" spans="1:23" x14ac:dyDescent="0.15">
      <c r="A7" s="8">
        <v>1</v>
      </c>
      <c r="B7" s="8">
        <v>-18.215</v>
      </c>
      <c r="C7" s="9">
        <v>-9.0951000000000006E-15</v>
      </c>
      <c r="D7" s="9">
        <v>1.8626000000000001E-8</v>
      </c>
      <c r="E7" s="8">
        <v>0</v>
      </c>
      <c r="F7" s="8">
        <v>1</v>
      </c>
      <c r="G7" s="9">
        <v>3.9827000000000003E-8</v>
      </c>
      <c r="H7" s="8">
        <v>0</v>
      </c>
      <c r="I7" s="8">
        <v>0</v>
      </c>
      <c r="J7" s="9">
        <v>7.0586999999999996E-10</v>
      </c>
      <c r="K7" s="8">
        <v>0</v>
      </c>
      <c r="L7" s="8">
        <v>0</v>
      </c>
      <c r="M7" s="8">
        <v>-19.831</v>
      </c>
      <c r="N7" s="9">
        <v>-6.8802000000000001E-15</v>
      </c>
      <c r="O7" s="9">
        <v>-1.376E-14</v>
      </c>
      <c r="P7" s="8">
        <v>-19.831</v>
      </c>
      <c r="Q7" s="9">
        <v>-6.8802000000000001E-15</v>
      </c>
      <c r="R7" s="9">
        <v>-1.376E-14</v>
      </c>
      <c r="S7" s="8">
        <v>1</v>
      </c>
      <c r="T7" s="8">
        <v>5</v>
      </c>
      <c r="U7" s="8">
        <v>0</v>
      </c>
      <c r="V7" s="8">
        <v>0.25</v>
      </c>
      <c r="W7" s="8">
        <v>0.3</v>
      </c>
    </row>
    <row r="8" spans="1:23" x14ac:dyDescent="0.15">
      <c r="A8" s="8">
        <v>1</v>
      </c>
      <c r="B8" s="8">
        <v>-18.425999999999998</v>
      </c>
      <c r="C8" s="9">
        <v>-6.3928000000000001E-15</v>
      </c>
      <c r="D8" s="9">
        <v>-1.2786000000000001E-14</v>
      </c>
      <c r="E8" s="8">
        <v>0</v>
      </c>
      <c r="F8" s="8">
        <v>1</v>
      </c>
      <c r="G8" s="9">
        <v>4.3001999999999997E-8</v>
      </c>
      <c r="H8" s="8">
        <v>0</v>
      </c>
      <c r="I8" s="8">
        <v>0</v>
      </c>
      <c r="J8" s="9">
        <v>-4.7413E-10</v>
      </c>
      <c r="K8" s="8">
        <v>0</v>
      </c>
      <c r="L8" s="8">
        <v>0</v>
      </c>
      <c r="M8" s="8">
        <v>-19.943999999999999</v>
      </c>
      <c r="N8" s="9">
        <v>-6.9195999999999999E-15</v>
      </c>
      <c r="O8" s="9">
        <v>-1.3838999999999999E-14</v>
      </c>
      <c r="P8" s="8">
        <v>-19.943999999999999</v>
      </c>
      <c r="Q8" s="9">
        <v>-6.9195999999999999E-15</v>
      </c>
      <c r="R8" s="9">
        <v>-1.3838999999999999E-14</v>
      </c>
      <c r="S8" s="8">
        <v>1</v>
      </c>
      <c r="T8" s="8">
        <v>6</v>
      </c>
      <c r="U8" s="8">
        <v>0</v>
      </c>
      <c r="V8" s="8">
        <v>0.25</v>
      </c>
      <c r="W8" s="8">
        <v>0.3</v>
      </c>
    </row>
    <row r="9" spans="1:23" x14ac:dyDescent="0.15">
      <c r="A9" s="8">
        <v>1</v>
      </c>
      <c r="B9" s="8">
        <v>-18.646000000000001</v>
      </c>
      <c r="C9" s="9">
        <v>-6.4692000000000003E-15</v>
      </c>
      <c r="D9" s="9">
        <v>-1.2938E-14</v>
      </c>
      <c r="E9" s="8">
        <v>0</v>
      </c>
      <c r="F9" s="8">
        <v>1</v>
      </c>
      <c r="G9" s="9">
        <v>4.6749999999999998E-8</v>
      </c>
      <c r="H9" s="8">
        <v>0</v>
      </c>
      <c r="I9" s="8">
        <v>0</v>
      </c>
      <c r="J9" s="9">
        <v>-2.0246999999999998E-9</v>
      </c>
      <c r="K9" s="8">
        <v>0</v>
      </c>
      <c r="L9" s="8">
        <v>0</v>
      </c>
      <c r="M9" s="8">
        <v>-20.036999999999999</v>
      </c>
      <c r="N9" s="9">
        <v>-6.9516999999999997E-15</v>
      </c>
      <c r="O9" s="9">
        <v>-1.3903E-14</v>
      </c>
      <c r="P9" s="8">
        <v>-20.036999999999999</v>
      </c>
      <c r="Q9" s="9">
        <v>-6.9516999999999997E-15</v>
      </c>
      <c r="R9" s="9">
        <v>-1.3903E-14</v>
      </c>
      <c r="S9" s="8">
        <v>1</v>
      </c>
      <c r="T9" s="8">
        <v>7</v>
      </c>
      <c r="U9" s="8">
        <v>0</v>
      </c>
      <c r="V9" s="8">
        <v>0.25</v>
      </c>
      <c r="W9" s="8">
        <v>0.3</v>
      </c>
    </row>
    <row r="10" spans="1:23" x14ac:dyDescent="0.15">
      <c r="A10" s="8">
        <v>1</v>
      </c>
      <c r="B10" s="8">
        <v>-18.879000000000001</v>
      </c>
      <c r="C10" s="9">
        <v>-6.5500999999999997E-15</v>
      </c>
      <c r="D10" s="9">
        <v>-1.3100000000000001E-14</v>
      </c>
      <c r="E10" s="8">
        <v>0</v>
      </c>
      <c r="F10" s="8">
        <v>1</v>
      </c>
      <c r="G10" s="9">
        <v>5.1226999999999999E-8</v>
      </c>
      <c r="H10" s="8">
        <v>0</v>
      </c>
      <c r="I10" s="8">
        <v>0</v>
      </c>
      <c r="J10" s="9">
        <v>-4.1231000000000004E-9</v>
      </c>
      <c r="K10" s="8">
        <v>0</v>
      </c>
      <c r="L10" s="8">
        <v>0</v>
      </c>
      <c r="M10" s="8">
        <v>-20.103999999999999</v>
      </c>
      <c r="N10" s="9">
        <v>-6.9748999999999998E-15</v>
      </c>
      <c r="O10" s="9">
        <v>-1.395E-14</v>
      </c>
      <c r="P10" s="8">
        <v>-20.103999999999999</v>
      </c>
      <c r="Q10" s="9">
        <v>-6.9748999999999998E-15</v>
      </c>
      <c r="R10" s="9">
        <v>-1.395E-14</v>
      </c>
      <c r="S10" s="8">
        <v>1</v>
      </c>
      <c r="T10" s="8">
        <v>8</v>
      </c>
      <c r="U10" s="8">
        <v>0</v>
      </c>
      <c r="V10" s="8">
        <v>0.25</v>
      </c>
      <c r="W10" s="8">
        <v>0.3</v>
      </c>
    </row>
    <row r="11" spans="1:23" x14ac:dyDescent="0.15">
      <c r="A11" s="8">
        <v>1</v>
      </c>
      <c r="B11" s="8">
        <v>-19.131</v>
      </c>
      <c r="C11" s="9">
        <v>-9.4130999999999999E-15</v>
      </c>
      <c r="D11" s="9">
        <v>1.8626000000000001E-8</v>
      </c>
      <c r="E11" s="8">
        <v>0</v>
      </c>
      <c r="F11" s="8">
        <v>1</v>
      </c>
      <c r="G11" s="9">
        <v>5.6638000000000001E-8</v>
      </c>
      <c r="H11" s="8">
        <v>0</v>
      </c>
      <c r="I11" s="8">
        <v>0</v>
      </c>
      <c r="J11" s="9">
        <v>-7.0572999999999996E-9</v>
      </c>
      <c r="K11" s="8">
        <v>0</v>
      </c>
      <c r="L11" s="8">
        <v>0</v>
      </c>
      <c r="M11" s="8">
        <v>-20.138000000000002</v>
      </c>
      <c r="N11" s="9">
        <v>-6.9869E-15</v>
      </c>
      <c r="O11" s="9">
        <v>-1.3974E-14</v>
      </c>
      <c r="P11" s="8">
        <v>-20.138000000000002</v>
      </c>
      <c r="Q11" s="9">
        <v>-6.9869E-15</v>
      </c>
      <c r="R11" s="9">
        <v>-1.3974E-14</v>
      </c>
      <c r="S11" s="8">
        <v>1</v>
      </c>
      <c r="T11" s="8">
        <v>9</v>
      </c>
      <c r="U11" s="8">
        <v>0</v>
      </c>
      <c r="V11" s="8">
        <v>0.25</v>
      </c>
      <c r="W11" s="8">
        <v>0.3</v>
      </c>
    </row>
    <row r="12" spans="1:23" x14ac:dyDescent="0.15">
      <c r="A12" s="8">
        <v>1</v>
      </c>
      <c r="B12" s="8">
        <v>-19.413</v>
      </c>
      <c r="C12" s="9">
        <v>-6.7353999999999998E-15</v>
      </c>
      <c r="D12" s="9">
        <v>-1.3471E-14</v>
      </c>
      <c r="E12" s="8">
        <v>0</v>
      </c>
      <c r="F12" s="8">
        <v>1</v>
      </c>
      <c r="G12" s="9">
        <v>6.3243000000000006E-8</v>
      </c>
      <c r="H12" s="8">
        <v>0</v>
      </c>
      <c r="I12" s="8">
        <v>0</v>
      </c>
      <c r="J12" s="9">
        <v>-1.1314E-8</v>
      </c>
      <c r="K12" s="8">
        <v>0</v>
      </c>
      <c r="L12" s="8">
        <v>0</v>
      </c>
      <c r="M12" s="8">
        <v>-20.132000000000001</v>
      </c>
      <c r="N12" s="9">
        <v>-6.9845999999999999E-15</v>
      </c>
      <c r="O12" s="9">
        <v>-1.3969E-14</v>
      </c>
      <c r="P12" s="8">
        <v>-20.132000000000001</v>
      </c>
      <c r="Q12" s="9">
        <v>-6.9845999999999999E-15</v>
      </c>
      <c r="R12" s="9">
        <v>-1.3969E-14</v>
      </c>
      <c r="S12" s="8">
        <v>1</v>
      </c>
      <c r="T12" s="8">
        <v>10</v>
      </c>
      <c r="U12" s="8">
        <v>0</v>
      </c>
      <c r="V12" s="8">
        <v>0.25</v>
      </c>
      <c r="W12" s="8">
        <v>0.3</v>
      </c>
    </row>
    <row r="13" spans="1:23" x14ac:dyDescent="0.15">
      <c r="A13" s="8">
        <v>1</v>
      </c>
      <c r="B13" s="8">
        <v>-19.747</v>
      </c>
      <c r="C13" s="9">
        <v>-6.8510000000000003E-15</v>
      </c>
      <c r="D13" s="9">
        <v>-1.3702000000000001E-14</v>
      </c>
      <c r="E13" s="8">
        <v>0</v>
      </c>
      <c r="F13" s="8">
        <v>1</v>
      </c>
      <c r="G13" s="9">
        <v>7.1333999999999995E-8</v>
      </c>
      <c r="H13" s="8">
        <v>0</v>
      </c>
      <c r="I13" s="8">
        <v>0</v>
      </c>
      <c r="J13" s="9">
        <v>-1.7754000000000001E-8</v>
      </c>
      <c r="K13" s="8">
        <v>0</v>
      </c>
      <c r="L13" s="8">
        <v>0</v>
      </c>
      <c r="M13" s="8">
        <v>-20.071999999999999</v>
      </c>
      <c r="N13" s="9">
        <v>-6.9638000000000001E-15</v>
      </c>
      <c r="O13" s="9">
        <v>-1.3928000000000001E-14</v>
      </c>
      <c r="P13" s="8">
        <v>-20.071999999999999</v>
      </c>
      <c r="Q13" s="9">
        <v>-6.9638000000000001E-15</v>
      </c>
      <c r="R13" s="9">
        <v>-1.3928000000000001E-14</v>
      </c>
      <c r="S13" s="8">
        <v>1</v>
      </c>
      <c r="T13" s="8">
        <v>11</v>
      </c>
      <c r="U13" s="8">
        <v>0</v>
      </c>
      <c r="V13" s="8">
        <v>0.25</v>
      </c>
      <c r="W13" s="8">
        <v>0.3</v>
      </c>
    </row>
    <row r="14" spans="1:23" x14ac:dyDescent="0.15">
      <c r="A14" s="8">
        <v>1</v>
      </c>
      <c r="B14" s="8">
        <v>-20.170999999999999</v>
      </c>
      <c r="C14" s="9">
        <v>-1.2548999999999999E-14</v>
      </c>
      <c r="D14" s="9">
        <v>3.7253000000000003E-8</v>
      </c>
      <c r="E14" s="8">
        <v>0</v>
      </c>
      <c r="F14" s="8">
        <v>1</v>
      </c>
      <c r="G14" s="9">
        <v>8.1086000000000002E-8</v>
      </c>
      <c r="H14" s="8">
        <v>0</v>
      </c>
      <c r="I14" s="8">
        <v>0</v>
      </c>
      <c r="J14" s="9">
        <v>-2.7952000000000001E-8</v>
      </c>
      <c r="K14" s="8">
        <v>0</v>
      </c>
      <c r="L14" s="8">
        <v>0</v>
      </c>
      <c r="M14" s="8">
        <v>-19.946000000000002</v>
      </c>
      <c r="N14" s="9">
        <v>-6.9200999999999998E-15</v>
      </c>
      <c r="O14" s="9">
        <v>-1.3839999999999999E-14</v>
      </c>
      <c r="P14" s="8">
        <v>-19.946000000000002</v>
      </c>
      <c r="Q14" s="9">
        <v>-6.9200999999999998E-15</v>
      </c>
      <c r="R14" s="9">
        <v>-1.3839999999999999E-14</v>
      </c>
      <c r="S14" s="8">
        <v>1</v>
      </c>
      <c r="T14" s="8">
        <v>12</v>
      </c>
      <c r="U14" s="8">
        <v>0</v>
      </c>
      <c r="V14" s="8">
        <v>0.25</v>
      </c>
      <c r="W14" s="8">
        <v>0.3</v>
      </c>
    </row>
    <row r="15" spans="1:23" x14ac:dyDescent="0.15">
      <c r="A15" s="8">
        <v>1</v>
      </c>
      <c r="B15" s="8">
        <v>-20.765999999999998</v>
      </c>
      <c r="C15" s="9">
        <v>-7.2046000000000004E-15</v>
      </c>
      <c r="D15" s="9">
        <v>-1.4408999999999999E-14</v>
      </c>
      <c r="E15" s="8">
        <v>0</v>
      </c>
      <c r="F15" s="8">
        <v>1</v>
      </c>
      <c r="G15" s="9">
        <v>9.1956000000000006E-8</v>
      </c>
      <c r="H15" s="8">
        <v>0</v>
      </c>
      <c r="I15" s="8">
        <v>0</v>
      </c>
      <c r="J15" s="9">
        <v>-4.4832000000000001E-8</v>
      </c>
      <c r="K15" s="8">
        <v>0</v>
      </c>
      <c r="L15" s="8">
        <v>0</v>
      </c>
      <c r="M15" s="8">
        <v>-19.753</v>
      </c>
      <c r="N15" s="9">
        <v>-6.8532000000000002E-15</v>
      </c>
      <c r="O15" s="9">
        <v>-1.3706E-14</v>
      </c>
      <c r="P15" s="8">
        <v>-19.753</v>
      </c>
      <c r="Q15" s="9">
        <v>-6.8532000000000002E-15</v>
      </c>
      <c r="R15" s="9">
        <v>-1.3706E-14</v>
      </c>
      <c r="S15" s="8">
        <v>1</v>
      </c>
      <c r="T15" s="8">
        <v>13</v>
      </c>
      <c r="U15" s="8">
        <v>0</v>
      </c>
      <c r="V15" s="8">
        <v>0.25</v>
      </c>
      <c r="W15" s="8">
        <v>0.3</v>
      </c>
    </row>
    <row r="16" spans="1:23" x14ac:dyDescent="0.15">
      <c r="A16" s="8">
        <v>1</v>
      </c>
      <c r="B16" s="8">
        <v>-21.68</v>
      </c>
      <c r="C16" s="9">
        <v>-7.5218000000000001E-15</v>
      </c>
      <c r="D16" s="9">
        <v>3.7253000000000003E-8</v>
      </c>
      <c r="E16" s="8">
        <v>0</v>
      </c>
      <c r="F16" s="8">
        <v>1</v>
      </c>
      <c r="G16" s="9">
        <v>1.0052E-7</v>
      </c>
      <c r="H16" s="8">
        <v>0</v>
      </c>
      <c r="I16" s="8">
        <v>0</v>
      </c>
      <c r="J16" s="9">
        <v>-7.3369E-8</v>
      </c>
      <c r="K16" s="8">
        <v>0</v>
      </c>
      <c r="L16" s="8">
        <v>0</v>
      </c>
      <c r="M16" s="8">
        <v>-19.556999999999999</v>
      </c>
      <c r="N16" s="9">
        <v>-6.7850999999999998E-15</v>
      </c>
      <c r="O16" s="9">
        <v>-1.3569999999999999E-14</v>
      </c>
      <c r="P16" s="8">
        <v>-19.556999999999999</v>
      </c>
      <c r="Q16" s="9">
        <v>-6.7850999999999998E-15</v>
      </c>
      <c r="R16" s="9">
        <v>-1.3569999999999999E-14</v>
      </c>
      <c r="S16" s="8">
        <v>1</v>
      </c>
      <c r="T16" s="8">
        <v>14</v>
      </c>
      <c r="U16" s="8">
        <v>0</v>
      </c>
      <c r="V16" s="8">
        <v>0.25</v>
      </c>
      <c r="W16" s="8">
        <v>0.3</v>
      </c>
    </row>
    <row r="17" spans="1:23" x14ac:dyDescent="0.15">
      <c r="A17" s="8">
        <v>1</v>
      </c>
      <c r="B17" s="8">
        <v>-23.096</v>
      </c>
      <c r="C17" s="9">
        <v>-8.0132000000000001E-15</v>
      </c>
      <c r="D17" s="9">
        <v>3.7253000000000003E-8</v>
      </c>
      <c r="E17" s="8">
        <v>0</v>
      </c>
      <c r="F17" s="8">
        <v>1</v>
      </c>
      <c r="G17" s="9">
        <v>9.4575999999999999E-8</v>
      </c>
      <c r="H17" s="8">
        <v>0</v>
      </c>
      <c r="I17" s="8">
        <v>0</v>
      </c>
      <c r="J17" s="9">
        <v>-1.1804E-7</v>
      </c>
      <c r="K17" s="8">
        <v>0</v>
      </c>
      <c r="L17" s="8">
        <v>0</v>
      </c>
      <c r="M17" s="8">
        <v>-19.654</v>
      </c>
      <c r="N17" s="9">
        <v>-6.8188999999999996E-15</v>
      </c>
      <c r="O17" s="9">
        <v>-1.3638E-14</v>
      </c>
      <c r="P17" s="8">
        <v>-19.654</v>
      </c>
      <c r="Q17" s="9">
        <v>-6.8188999999999996E-15</v>
      </c>
      <c r="R17" s="9">
        <v>-1.3638E-14</v>
      </c>
      <c r="S17" s="8">
        <v>1</v>
      </c>
      <c r="T17" s="8">
        <v>15</v>
      </c>
      <c r="U17" s="8">
        <v>0</v>
      </c>
      <c r="V17" s="8">
        <v>0.25</v>
      </c>
      <c r="W17" s="8">
        <v>0.3</v>
      </c>
    </row>
    <row r="18" spans="1:23" x14ac:dyDescent="0.15">
      <c r="A18" s="8">
        <v>1</v>
      </c>
      <c r="B18" s="8">
        <v>-24.760999999999999</v>
      </c>
      <c r="C18" s="9">
        <v>-8.5904999999999995E-15</v>
      </c>
      <c r="D18" s="9">
        <v>-1.7180999999999999E-14</v>
      </c>
      <c r="E18" s="8">
        <v>0</v>
      </c>
      <c r="F18" s="8">
        <v>1</v>
      </c>
      <c r="G18" s="9">
        <v>5.0822999999999998E-8</v>
      </c>
      <c r="H18" s="8">
        <v>0</v>
      </c>
      <c r="I18" s="8">
        <v>0</v>
      </c>
      <c r="J18" s="9">
        <v>-1.6446999999999999E-7</v>
      </c>
      <c r="K18" s="8">
        <v>0</v>
      </c>
      <c r="L18" s="8">
        <v>0</v>
      </c>
      <c r="M18" s="8">
        <v>-20.734000000000002</v>
      </c>
      <c r="N18" s="9">
        <v>-7.1936000000000008E-15</v>
      </c>
      <c r="O18" s="9">
        <v>-1.4387E-14</v>
      </c>
      <c r="P18" s="8">
        <v>-20.734000000000002</v>
      </c>
      <c r="Q18" s="9">
        <v>-7.1936000000000008E-15</v>
      </c>
      <c r="R18" s="9">
        <v>-1.4387E-14</v>
      </c>
      <c r="S18" s="8">
        <v>1</v>
      </c>
      <c r="T18" s="8">
        <v>16</v>
      </c>
      <c r="U18" s="8">
        <v>0</v>
      </c>
      <c r="V18" s="8">
        <v>0.25</v>
      </c>
      <c r="W18" s="8">
        <v>0.3</v>
      </c>
    </row>
    <row r="19" spans="1:23" x14ac:dyDescent="0.15">
      <c r="A19" s="8">
        <v>1</v>
      </c>
      <c r="B19" s="8">
        <v>-25.41</v>
      </c>
      <c r="C19" s="9">
        <v>-8.8157999999999994E-15</v>
      </c>
      <c r="D19" s="9">
        <v>-1.7631999999999999E-14</v>
      </c>
      <c r="E19" s="8">
        <v>0</v>
      </c>
      <c r="F19" s="8">
        <v>1</v>
      </c>
      <c r="G19" s="9">
        <v>-2.1600000000000002E-8</v>
      </c>
      <c r="H19" s="8">
        <v>0</v>
      </c>
      <c r="I19" s="8">
        <v>0</v>
      </c>
      <c r="J19" s="9">
        <v>-1.6644E-7</v>
      </c>
      <c r="K19" s="8">
        <v>0</v>
      </c>
      <c r="L19" s="8">
        <v>0</v>
      </c>
      <c r="M19" s="8">
        <v>-22.803000000000001</v>
      </c>
      <c r="N19" s="9">
        <v>-7.9113000000000006E-15</v>
      </c>
      <c r="O19" s="9">
        <v>-1.5822999999999999E-14</v>
      </c>
      <c r="P19" s="8">
        <v>-22.803000000000001</v>
      </c>
      <c r="Q19" s="9">
        <v>-7.9113000000000006E-15</v>
      </c>
      <c r="R19" s="9">
        <v>-1.5822999999999999E-14</v>
      </c>
      <c r="S19" s="8">
        <v>1</v>
      </c>
      <c r="T19" s="8">
        <v>17</v>
      </c>
      <c r="U19" s="8">
        <v>0</v>
      </c>
      <c r="V19" s="8">
        <v>0.25</v>
      </c>
      <c r="W19" s="8">
        <v>0.3</v>
      </c>
    </row>
    <row r="20" spans="1:23" x14ac:dyDescent="0.15">
      <c r="A20" s="8">
        <v>1</v>
      </c>
      <c r="B20" s="8">
        <v>-24.774000000000001</v>
      </c>
      <c r="C20" s="9">
        <v>-1.4146000000000001E-14</v>
      </c>
      <c r="D20" s="9">
        <v>3.7253000000000003E-8</v>
      </c>
      <c r="E20" s="8">
        <v>0</v>
      </c>
      <c r="F20" s="8">
        <v>1</v>
      </c>
      <c r="G20" s="9">
        <v>-6.6488000000000006E-8</v>
      </c>
      <c r="H20" s="8">
        <v>0</v>
      </c>
      <c r="I20" s="8">
        <v>0</v>
      </c>
      <c r="J20" s="9">
        <v>-1.2508000000000001E-7</v>
      </c>
      <c r="K20" s="8">
        <v>0</v>
      </c>
      <c r="L20" s="8">
        <v>0</v>
      </c>
      <c r="M20" s="8">
        <v>-24.378</v>
      </c>
      <c r="N20" s="9">
        <v>-8.4577000000000002E-15</v>
      </c>
      <c r="O20" s="9">
        <v>-1.6915E-14</v>
      </c>
      <c r="P20" s="8">
        <v>-24.378</v>
      </c>
      <c r="Q20" s="9">
        <v>-8.4577000000000002E-15</v>
      </c>
      <c r="R20" s="9">
        <v>-1.6915E-14</v>
      </c>
      <c r="S20" s="8">
        <v>1</v>
      </c>
      <c r="T20" s="8">
        <v>18</v>
      </c>
      <c r="U20" s="8">
        <v>0</v>
      </c>
      <c r="V20" s="8">
        <v>0.25</v>
      </c>
      <c r="W20" s="8">
        <v>0.3</v>
      </c>
    </row>
    <row r="21" spans="1:23" x14ac:dyDescent="0.15">
      <c r="A21" s="8">
        <v>1</v>
      </c>
      <c r="B21" s="8">
        <v>-23.957999999999998</v>
      </c>
      <c r="C21" s="9">
        <v>-8.3121000000000003E-15</v>
      </c>
      <c r="D21" s="9">
        <v>-1.6623999999999999E-14</v>
      </c>
      <c r="E21" s="8">
        <v>0</v>
      </c>
      <c r="F21" s="8">
        <v>1</v>
      </c>
      <c r="G21" s="9">
        <v>-7.6289000000000002E-8</v>
      </c>
      <c r="H21" s="8">
        <v>0</v>
      </c>
      <c r="I21" s="8">
        <v>0</v>
      </c>
      <c r="J21" s="9">
        <v>-8.3976999999999998E-8</v>
      </c>
      <c r="K21" s="8">
        <v>0</v>
      </c>
      <c r="L21" s="8">
        <v>0</v>
      </c>
      <c r="M21" s="8">
        <v>-25.027999999999999</v>
      </c>
      <c r="N21" s="9">
        <v>-8.6832999999999997E-15</v>
      </c>
      <c r="O21" s="9">
        <v>-1.7367E-14</v>
      </c>
      <c r="P21" s="8">
        <v>-25.027999999999999</v>
      </c>
      <c r="Q21" s="9">
        <v>-8.6832999999999997E-15</v>
      </c>
      <c r="R21" s="9">
        <v>-1.7367E-14</v>
      </c>
      <c r="S21" s="8">
        <v>1</v>
      </c>
      <c r="T21" s="8">
        <v>19</v>
      </c>
      <c r="U21" s="8">
        <v>0</v>
      </c>
      <c r="V21" s="8">
        <v>0.25</v>
      </c>
      <c r="W21" s="8">
        <v>0.3</v>
      </c>
    </row>
    <row r="22" spans="1:23" x14ac:dyDescent="0.15">
      <c r="A22" s="8">
        <v>1</v>
      </c>
      <c r="B22" s="8">
        <v>-23.422999999999998</v>
      </c>
      <c r="C22" s="9">
        <v>-8.1262999999999995E-15</v>
      </c>
      <c r="D22" s="9">
        <v>-1.6253E-14</v>
      </c>
      <c r="E22" s="8">
        <v>0</v>
      </c>
      <c r="F22" s="8">
        <v>1</v>
      </c>
      <c r="G22" s="9">
        <v>-7.1707999999999996E-8</v>
      </c>
      <c r="H22" s="8">
        <v>0</v>
      </c>
      <c r="I22" s="8">
        <v>0</v>
      </c>
      <c r="J22" s="9">
        <v>-5.6468E-8</v>
      </c>
      <c r="K22" s="8">
        <v>0</v>
      </c>
      <c r="L22" s="8">
        <v>0</v>
      </c>
      <c r="M22" s="8">
        <v>-25.227</v>
      </c>
      <c r="N22" s="9">
        <v>-8.7524000000000008E-15</v>
      </c>
      <c r="O22" s="9">
        <v>-1.7505E-14</v>
      </c>
      <c r="P22" s="8">
        <v>-25.227</v>
      </c>
      <c r="Q22" s="9">
        <v>-8.7524000000000008E-15</v>
      </c>
      <c r="R22" s="9">
        <v>-1.7505E-14</v>
      </c>
      <c r="S22" s="8">
        <v>1</v>
      </c>
      <c r="T22" s="8">
        <v>20</v>
      </c>
      <c r="U22" s="8">
        <v>0</v>
      </c>
      <c r="V22" s="8">
        <v>0.25</v>
      </c>
      <c r="W22" s="8">
        <v>0.3</v>
      </c>
    </row>
    <row r="23" spans="1:23" x14ac:dyDescent="0.15">
      <c r="A23" s="8">
        <v>1</v>
      </c>
      <c r="B23" s="8">
        <v>-23.140999999999998</v>
      </c>
      <c r="C23" s="9">
        <v>-9.3131999999999996E-9</v>
      </c>
      <c r="D23" s="9">
        <v>9.3131999999999996E-9</v>
      </c>
      <c r="E23" s="8">
        <v>0</v>
      </c>
      <c r="F23" s="8">
        <v>1</v>
      </c>
      <c r="G23" s="9">
        <v>-6.3829999999999997E-8</v>
      </c>
      <c r="H23" s="8">
        <v>0</v>
      </c>
      <c r="I23" s="8">
        <v>0</v>
      </c>
      <c r="J23" s="9">
        <v>-3.9311E-8</v>
      </c>
      <c r="K23" s="8">
        <v>0</v>
      </c>
      <c r="L23" s="8">
        <v>0</v>
      </c>
      <c r="M23" s="8">
        <v>-25.283000000000001</v>
      </c>
      <c r="N23" s="9">
        <v>-8.7719000000000004E-15</v>
      </c>
      <c r="O23" s="9">
        <v>-1.7544E-14</v>
      </c>
      <c r="P23" s="8">
        <v>-25.283000000000001</v>
      </c>
      <c r="Q23" s="9">
        <v>-8.7719000000000004E-15</v>
      </c>
      <c r="R23" s="9">
        <v>-1.7544E-14</v>
      </c>
      <c r="S23" s="8">
        <v>1</v>
      </c>
      <c r="T23" s="8">
        <v>21</v>
      </c>
      <c r="U23" s="8">
        <v>0</v>
      </c>
      <c r="V23" s="8">
        <v>0.25</v>
      </c>
      <c r="W23" s="8">
        <v>0.3</v>
      </c>
    </row>
    <row r="24" spans="1:23" x14ac:dyDescent="0.15">
      <c r="A24" s="8">
        <v>1</v>
      </c>
      <c r="B24" s="8">
        <v>-23.024999999999999</v>
      </c>
      <c r="C24" s="9">
        <v>-2.4373E-15</v>
      </c>
      <c r="D24" s="9">
        <v>-4.8744999999999998E-15</v>
      </c>
      <c r="E24" s="8">
        <v>0</v>
      </c>
      <c r="F24" s="8">
        <v>1</v>
      </c>
      <c r="G24" s="9">
        <v>-5.6151999999999999E-8</v>
      </c>
      <c r="H24" s="8">
        <v>0</v>
      </c>
      <c r="I24" s="8">
        <v>0</v>
      </c>
      <c r="J24" s="9">
        <v>-2.8403E-8</v>
      </c>
      <c r="K24" s="8">
        <v>0</v>
      </c>
      <c r="L24" s="8">
        <v>0</v>
      </c>
      <c r="M24" s="8">
        <v>-25.311</v>
      </c>
      <c r="N24" s="9">
        <v>-8.7812999999999993E-15</v>
      </c>
      <c r="O24" s="9">
        <v>-1.7562999999999999E-14</v>
      </c>
      <c r="P24" s="8">
        <v>-25.311</v>
      </c>
      <c r="Q24" s="9">
        <v>-8.7812999999999993E-15</v>
      </c>
      <c r="R24" s="9">
        <v>-1.7562999999999999E-14</v>
      </c>
      <c r="S24" s="8">
        <v>1</v>
      </c>
      <c r="T24" s="8">
        <v>22</v>
      </c>
      <c r="U24" s="8">
        <v>0</v>
      </c>
      <c r="V24" s="8">
        <v>0.25</v>
      </c>
      <c r="W24" s="8">
        <v>0.3</v>
      </c>
    </row>
    <row r="25" spans="1:23" x14ac:dyDescent="0.15">
      <c r="A25" s="8">
        <v>1</v>
      </c>
      <c r="B25" s="8">
        <v>-23.010999999999999</v>
      </c>
      <c r="C25" s="9">
        <v>-7.9833999999999995E-15</v>
      </c>
      <c r="D25" s="9">
        <v>-1.5967000000000001E-14</v>
      </c>
      <c r="E25" s="8">
        <v>0</v>
      </c>
      <c r="F25" s="8">
        <v>1</v>
      </c>
      <c r="G25" s="9">
        <v>-4.9491999999999997E-8</v>
      </c>
      <c r="H25" s="8">
        <v>0</v>
      </c>
      <c r="I25" s="8">
        <v>0</v>
      </c>
      <c r="J25" s="9">
        <v>-2.1185000000000001E-8</v>
      </c>
      <c r="K25" s="8">
        <v>0</v>
      </c>
      <c r="L25" s="8">
        <v>0</v>
      </c>
      <c r="M25" s="8">
        <v>-25.344000000000001</v>
      </c>
      <c r="N25" s="9">
        <v>-8.7930000000000007E-15</v>
      </c>
      <c r="O25" s="9">
        <v>-1.7586000000000001E-14</v>
      </c>
      <c r="P25" s="8">
        <v>-25.344000000000001</v>
      </c>
      <c r="Q25" s="9">
        <v>-8.7930000000000007E-15</v>
      </c>
      <c r="R25" s="9">
        <v>-1.7586000000000001E-14</v>
      </c>
      <c r="S25" s="8">
        <v>1</v>
      </c>
      <c r="T25" s="8">
        <v>23</v>
      </c>
      <c r="U25" s="8">
        <v>0</v>
      </c>
      <c r="V25" s="8">
        <v>0.25</v>
      </c>
      <c r="W25" s="8">
        <v>0.3</v>
      </c>
    </row>
    <row r="26" spans="1:23" x14ac:dyDescent="0.15">
      <c r="A26" s="8">
        <v>1</v>
      </c>
      <c r="B26" s="8">
        <v>-23.06</v>
      </c>
      <c r="C26" s="9">
        <v>-1.3551999999999999E-14</v>
      </c>
      <c r="D26" s="9">
        <v>3.7253000000000003E-8</v>
      </c>
      <c r="E26" s="8">
        <v>0</v>
      </c>
      <c r="F26" s="8">
        <v>1</v>
      </c>
      <c r="G26" s="9">
        <v>-4.3895999999999998E-8</v>
      </c>
      <c r="H26" s="8">
        <v>0</v>
      </c>
      <c r="I26" s="8">
        <v>0</v>
      </c>
      <c r="J26" s="9">
        <v>-1.6209E-8</v>
      </c>
      <c r="K26" s="8">
        <v>0</v>
      </c>
      <c r="L26" s="8">
        <v>0</v>
      </c>
      <c r="M26" s="8">
        <v>-25.393000000000001</v>
      </c>
      <c r="N26" s="9">
        <v>-8.8098999999999998E-15</v>
      </c>
      <c r="O26" s="9">
        <v>-1.7620000000000002E-14</v>
      </c>
      <c r="P26" s="8">
        <v>-25.393000000000001</v>
      </c>
      <c r="Q26" s="9">
        <v>-8.8098999999999998E-15</v>
      </c>
      <c r="R26" s="9">
        <v>-1.7620000000000002E-14</v>
      </c>
      <c r="S26" s="8">
        <v>1</v>
      </c>
      <c r="T26" s="8">
        <v>24</v>
      </c>
      <c r="U26" s="8">
        <v>0</v>
      </c>
      <c r="V26" s="8">
        <v>0.25</v>
      </c>
      <c r="W26" s="8">
        <v>0.3</v>
      </c>
    </row>
    <row r="27" spans="1:23" x14ac:dyDescent="0.15">
      <c r="A27" s="8">
        <v>1</v>
      </c>
      <c r="B27" s="8">
        <v>-23.151</v>
      </c>
      <c r="C27" s="9">
        <v>-8.0323000000000008E-15</v>
      </c>
      <c r="D27" s="9">
        <v>-1.6064999999999999E-14</v>
      </c>
      <c r="E27" s="8">
        <v>0</v>
      </c>
      <c r="F27" s="8">
        <v>1</v>
      </c>
      <c r="G27" s="9">
        <v>-3.9215999999999999E-8</v>
      </c>
      <c r="H27" s="8">
        <v>0</v>
      </c>
      <c r="I27" s="8">
        <v>0</v>
      </c>
      <c r="J27" s="9">
        <v>-1.2650000000000001E-8</v>
      </c>
      <c r="K27" s="8">
        <v>0</v>
      </c>
      <c r="L27" s="8">
        <v>0</v>
      </c>
      <c r="M27" s="8">
        <v>-25.457000000000001</v>
      </c>
      <c r="N27" s="9">
        <v>-8.8322999999999996E-15</v>
      </c>
      <c r="O27" s="9">
        <v>-1.7665E-14</v>
      </c>
      <c r="P27" s="8">
        <v>-25.457000000000001</v>
      </c>
      <c r="Q27" s="9">
        <v>-8.8322999999999996E-15</v>
      </c>
      <c r="R27" s="9">
        <v>-1.7665E-14</v>
      </c>
      <c r="S27" s="8">
        <v>1</v>
      </c>
      <c r="T27" s="8">
        <v>25</v>
      </c>
      <c r="U27" s="8">
        <v>0</v>
      </c>
      <c r="V27" s="8">
        <v>0.25</v>
      </c>
      <c r="W27" s="8">
        <v>0.3</v>
      </c>
    </row>
    <row r="28" spans="1:23" x14ac:dyDescent="0.15">
      <c r="A28" s="8">
        <v>1</v>
      </c>
      <c r="B28" s="8">
        <v>-23.27</v>
      </c>
      <c r="C28" s="9">
        <v>-1.0848999999999999E-14</v>
      </c>
      <c r="D28" s="9">
        <v>1.8626000000000001E-8</v>
      </c>
      <c r="E28" s="8">
        <v>0</v>
      </c>
      <c r="F28" s="8">
        <v>1</v>
      </c>
      <c r="G28" s="9">
        <v>-3.5284E-8</v>
      </c>
      <c r="H28" s="8">
        <v>0</v>
      </c>
      <c r="I28" s="8">
        <v>0</v>
      </c>
      <c r="J28" s="9">
        <v>-1.0023E-8</v>
      </c>
      <c r="K28" s="8">
        <v>0</v>
      </c>
      <c r="L28" s="8">
        <v>0</v>
      </c>
      <c r="M28" s="8">
        <v>-25.536000000000001</v>
      </c>
      <c r="N28" s="9">
        <v>-8.8594000000000003E-15</v>
      </c>
      <c r="O28" s="9">
        <v>-1.7718999999999999E-14</v>
      </c>
      <c r="P28" s="8">
        <v>-25.536000000000001</v>
      </c>
      <c r="Q28" s="9">
        <v>-8.8594000000000003E-15</v>
      </c>
      <c r="R28" s="9">
        <v>-1.7718999999999999E-14</v>
      </c>
      <c r="S28" s="8">
        <v>1</v>
      </c>
      <c r="T28" s="8">
        <v>26</v>
      </c>
      <c r="U28" s="8">
        <v>0</v>
      </c>
      <c r="V28" s="8">
        <v>0.25</v>
      </c>
      <c r="W28" s="8">
        <v>0.3</v>
      </c>
    </row>
    <row r="29" spans="1:23" x14ac:dyDescent="0.15">
      <c r="A29" s="8">
        <v>1</v>
      </c>
      <c r="B29" s="8">
        <v>-23.408000000000001</v>
      </c>
      <c r="C29" s="9">
        <v>-8.1213999999999998E-15</v>
      </c>
      <c r="D29" s="9">
        <v>-1.6243000000000001E-14</v>
      </c>
      <c r="E29" s="8">
        <v>0</v>
      </c>
      <c r="F29" s="8">
        <v>1</v>
      </c>
      <c r="G29" s="9">
        <v>-3.1954000000000003E-8</v>
      </c>
      <c r="H29" s="8">
        <v>0</v>
      </c>
      <c r="I29" s="8">
        <v>0</v>
      </c>
      <c r="J29" s="9">
        <v>-8.0298999999999993E-9</v>
      </c>
      <c r="K29" s="8">
        <v>0</v>
      </c>
      <c r="L29" s="8">
        <v>0</v>
      </c>
      <c r="M29" s="8">
        <v>-25.626000000000001</v>
      </c>
      <c r="N29" s="9">
        <v>-8.8907000000000007E-15</v>
      </c>
      <c r="O29" s="9">
        <v>-1.7781000000000001E-14</v>
      </c>
      <c r="P29" s="8">
        <v>-25.626000000000001</v>
      </c>
      <c r="Q29" s="9">
        <v>-8.8907000000000007E-15</v>
      </c>
      <c r="R29" s="9">
        <v>-1.7781000000000001E-14</v>
      </c>
      <c r="S29" s="8">
        <v>1</v>
      </c>
      <c r="T29" s="8">
        <v>27</v>
      </c>
      <c r="U29" s="8">
        <v>0</v>
      </c>
      <c r="V29" s="8">
        <v>0.25</v>
      </c>
      <c r="W29" s="8">
        <v>0.3</v>
      </c>
    </row>
    <row r="30" spans="1:23" x14ac:dyDescent="0.15">
      <c r="A30" s="8">
        <v>1</v>
      </c>
      <c r="B30" s="8">
        <v>-23.56</v>
      </c>
      <c r="C30" s="9">
        <v>-8.1740000000000007E-15</v>
      </c>
      <c r="D30" s="9">
        <v>-1.6348000000000001E-14</v>
      </c>
      <c r="E30" s="8">
        <v>0</v>
      </c>
      <c r="F30" s="8">
        <v>1</v>
      </c>
      <c r="G30" s="9">
        <v>-2.9105999999999999E-8</v>
      </c>
      <c r="H30" s="8">
        <v>0</v>
      </c>
      <c r="I30" s="8">
        <v>0</v>
      </c>
      <c r="J30" s="9">
        <v>-6.483E-9</v>
      </c>
      <c r="K30" s="8">
        <v>0</v>
      </c>
      <c r="L30" s="8">
        <v>0</v>
      </c>
      <c r="M30" s="8">
        <v>-25.725000000000001</v>
      </c>
      <c r="N30" s="9">
        <v>-8.9253000000000001E-15</v>
      </c>
      <c r="O30" s="9">
        <v>-1.7851000000000001E-14</v>
      </c>
      <c r="P30" s="8">
        <v>-25.725000000000001</v>
      </c>
      <c r="Q30" s="9">
        <v>-8.9253000000000001E-15</v>
      </c>
      <c r="R30" s="9">
        <v>-1.7851000000000001E-14</v>
      </c>
      <c r="S30" s="8">
        <v>1</v>
      </c>
      <c r="T30" s="8">
        <v>28</v>
      </c>
      <c r="U30" s="8">
        <v>0</v>
      </c>
      <c r="V30" s="8">
        <v>0.25</v>
      </c>
      <c r="W30" s="8">
        <v>0.3</v>
      </c>
    </row>
    <row r="31" spans="1:23" x14ac:dyDescent="0.15">
      <c r="A31" s="8">
        <v>1</v>
      </c>
      <c r="B31" s="8">
        <v>-23.721</v>
      </c>
      <c r="C31" s="9">
        <v>-8.2299000000000007E-15</v>
      </c>
      <c r="D31" s="9">
        <v>-1.646E-14</v>
      </c>
      <c r="E31" s="8">
        <v>0</v>
      </c>
      <c r="F31" s="8">
        <v>1</v>
      </c>
      <c r="G31" s="9">
        <v>-2.665E-8</v>
      </c>
      <c r="H31" s="8">
        <v>0</v>
      </c>
      <c r="I31" s="8">
        <v>0</v>
      </c>
      <c r="J31" s="9">
        <v>-5.2581999999999999E-9</v>
      </c>
      <c r="K31" s="8">
        <v>0</v>
      </c>
      <c r="L31" s="8">
        <v>0</v>
      </c>
      <c r="M31" s="8">
        <v>-25.832999999999998</v>
      </c>
      <c r="N31" s="9">
        <v>-8.9625999999999993E-15</v>
      </c>
      <c r="O31" s="9">
        <v>-1.7925E-14</v>
      </c>
      <c r="P31" s="8">
        <v>-25.832999999999998</v>
      </c>
      <c r="Q31" s="9">
        <v>-8.9625999999999993E-15</v>
      </c>
      <c r="R31" s="9">
        <v>-1.7925E-14</v>
      </c>
      <c r="S31" s="8">
        <v>1</v>
      </c>
      <c r="T31" s="8">
        <v>29</v>
      </c>
      <c r="U31" s="8">
        <v>0</v>
      </c>
      <c r="V31" s="8">
        <v>0.25</v>
      </c>
      <c r="W31" s="8">
        <v>0.3</v>
      </c>
    </row>
    <row r="32" spans="1:23" x14ac:dyDescent="0.15">
      <c r="A32" s="8">
        <v>1</v>
      </c>
      <c r="B32" s="8">
        <v>-23.888999999999999</v>
      </c>
      <c r="C32" s="9">
        <v>-8.2883000000000002E-15</v>
      </c>
      <c r="D32" s="9">
        <v>-1.6577000000000001E-14</v>
      </c>
      <c r="E32" s="8">
        <v>0</v>
      </c>
      <c r="F32" s="8">
        <v>1</v>
      </c>
      <c r="G32" s="9">
        <v>-2.4512999999999999E-8</v>
      </c>
      <c r="H32" s="8">
        <v>0</v>
      </c>
      <c r="I32" s="8">
        <v>0</v>
      </c>
      <c r="J32" s="9">
        <v>-4.2718000000000001E-9</v>
      </c>
      <c r="K32" s="8">
        <v>0</v>
      </c>
      <c r="L32" s="8">
        <v>0</v>
      </c>
      <c r="M32" s="8">
        <v>-25.946999999999999</v>
      </c>
      <c r="N32" s="9">
        <v>-9.0021000000000001E-15</v>
      </c>
      <c r="O32" s="9">
        <v>-1.8004000000000001E-14</v>
      </c>
      <c r="P32" s="8">
        <v>-25.946999999999999</v>
      </c>
      <c r="Q32" s="9">
        <v>-9.0021000000000001E-15</v>
      </c>
      <c r="R32" s="9">
        <v>-1.8004000000000001E-14</v>
      </c>
      <c r="S32" s="8">
        <v>1</v>
      </c>
      <c r="T32" s="8">
        <v>30</v>
      </c>
      <c r="U32" s="8">
        <v>0</v>
      </c>
      <c r="V32" s="8">
        <v>0.25</v>
      </c>
      <c r="W32" s="8">
        <v>0.3</v>
      </c>
    </row>
    <row r="33" spans="1:23" x14ac:dyDescent="0.15">
      <c r="A33" s="8">
        <v>1</v>
      </c>
      <c r="B33" s="8">
        <v>-24.062999999999999</v>
      </c>
      <c r="C33" s="9">
        <v>-8.3483999999999997E-15</v>
      </c>
      <c r="D33" s="9">
        <v>-1.6697000000000001E-14</v>
      </c>
      <c r="E33" s="8">
        <v>0</v>
      </c>
      <c r="F33" s="8">
        <v>1</v>
      </c>
      <c r="G33" s="9">
        <v>-2.2638999999999998E-8</v>
      </c>
      <c r="H33" s="8">
        <v>0</v>
      </c>
      <c r="I33" s="8">
        <v>0</v>
      </c>
      <c r="J33" s="9">
        <v>-3.4653E-9</v>
      </c>
      <c r="K33" s="8">
        <v>0</v>
      </c>
      <c r="L33" s="8">
        <v>0</v>
      </c>
      <c r="M33" s="8">
        <v>-26.065999999999999</v>
      </c>
      <c r="N33" s="9">
        <v>-9.0434000000000002E-15</v>
      </c>
      <c r="O33" s="9">
        <v>-1.8086999999999999E-14</v>
      </c>
      <c r="P33" s="8">
        <v>-26.065999999999999</v>
      </c>
      <c r="Q33" s="9">
        <v>-9.0434000000000002E-15</v>
      </c>
      <c r="R33" s="9">
        <v>-1.8086999999999999E-14</v>
      </c>
      <c r="S33" s="8">
        <v>1</v>
      </c>
      <c r="T33" s="8">
        <v>31</v>
      </c>
      <c r="U33" s="8">
        <v>0</v>
      </c>
      <c r="V33" s="8">
        <v>0.25</v>
      </c>
      <c r="W33" s="8">
        <v>0.3</v>
      </c>
    </row>
    <row r="34" spans="1:23" x14ac:dyDescent="0.15">
      <c r="A34" s="8">
        <v>1</v>
      </c>
      <c r="B34" s="8">
        <v>-24.24</v>
      </c>
      <c r="C34" s="9">
        <v>-8.4098999999999997E-15</v>
      </c>
      <c r="D34" s="9">
        <v>-1.6820000000000001E-14</v>
      </c>
      <c r="E34" s="8">
        <v>0</v>
      </c>
      <c r="F34" s="8">
        <v>1</v>
      </c>
      <c r="G34" s="9">
        <v>-2.0981999999999999E-8</v>
      </c>
      <c r="H34" s="8">
        <v>0</v>
      </c>
      <c r="I34" s="8">
        <v>0</v>
      </c>
      <c r="J34" s="9">
        <v>-2.7973999999999999E-9</v>
      </c>
      <c r="K34" s="8">
        <v>0</v>
      </c>
      <c r="L34" s="8">
        <v>0</v>
      </c>
      <c r="M34" s="8">
        <v>-26.189</v>
      </c>
      <c r="N34" s="9">
        <v>-9.0862999999999994E-15</v>
      </c>
      <c r="O34" s="9">
        <v>-1.8172999999999999E-14</v>
      </c>
      <c r="P34" s="8">
        <v>-26.189</v>
      </c>
      <c r="Q34" s="9">
        <v>-9.0862999999999994E-15</v>
      </c>
      <c r="R34" s="9">
        <v>-1.8172999999999999E-14</v>
      </c>
      <c r="S34" s="8">
        <v>1</v>
      </c>
      <c r="T34" s="8">
        <v>32</v>
      </c>
      <c r="U34" s="8">
        <v>0</v>
      </c>
      <c r="V34" s="8">
        <v>0.25</v>
      </c>
      <c r="W34" s="8">
        <v>0.3</v>
      </c>
    </row>
    <row r="35" spans="1:23" x14ac:dyDescent="0.15">
      <c r="A35" s="8">
        <v>1</v>
      </c>
      <c r="B35" s="8">
        <v>-24.42</v>
      </c>
      <c r="C35" s="9">
        <v>-1.4022999999999999E-14</v>
      </c>
      <c r="D35" s="9">
        <v>3.7253000000000003E-8</v>
      </c>
      <c r="E35" s="8">
        <v>0</v>
      </c>
      <c r="F35" s="8">
        <v>1</v>
      </c>
      <c r="G35" s="9">
        <v>-1.9507999999999998E-8</v>
      </c>
      <c r="H35" s="8">
        <v>0</v>
      </c>
      <c r="I35" s="8">
        <v>0</v>
      </c>
      <c r="J35" s="9">
        <v>-2.2377999999999999E-9</v>
      </c>
      <c r="K35" s="8">
        <v>0</v>
      </c>
      <c r="L35" s="8">
        <v>0</v>
      </c>
      <c r="M35" s="8">
        <v>-26.315999999999999</v>
      </c>
      <c r="N35" s="9">
        <v>-9.1302999999999993E-15</v>
      </c>
      <c r="O35" s="9">
        <v>-1.8260999999999999E-14</v>
      </c>
      <c r="P35" s="8">
        <v>-26.315999999999999</v>
      </c>
      <c r="Q35" s="9">
        <v>-9.1302999999999993E-15</v>
      </c>
      <c r="R35" s="9">
        <v>-1.8260999999999999E-14</v>
      </c>
      <c r="S35" s="8">
        <v>1</v>
      </c>
      <c r="T35" s="8">
        <v>33</v>
      </c>
      <c r="U35" s="8">
        <v>0</v>
      </c>
      <c r="V35" s="8">
        <v>0.25</v>
      </c>
      <c r="W35" s="8">
        <v>0.3</v>
      </c>
    </row>
    <row r="36" spans="1:23" x14ac:dyDescent="0.15">
      <c r="A36" s="8">
        <v>1</v>
      </c>
      <c r="B36" s="8">
        <v>-24.600999999999999</v>
      </c>
      <c r="C36" s="9">
        <v>-8.5352999999999997E-15</v>
      </c>
      <c r="D36" s="9">
        <v>-1.7071E-14</v>
      </c>
      <c r="E36" s="8">
        <v>0</v>
      </c>
      <c r="F36" s="8">
        <v>1</v>
      </c>
      <c r="G36" s="9">
        <v>-1.8189000000000002E-8</v>
      </c>
      <c r="H36" s="8">
        <v>0</v>
      </c>
      <c r="I36" s="8">
        <v>0</v>
      </c>
      <c r="J36" s="9">
        <v>-1.7639999999999999E-9</v>
      </c>
      <c r="K36" s="8">
        <v>0</v>
      </c>
      <c r="L36" s="8">
        <v>0</v>
      </c>
      <c r="M36" s="8">
        <v>-26.446000000000002</v>
      </c>
      <c r="N36" s="9">
        <v>-9.1754E-15</v>
      </c>
      <c r="O36" s="9">
        <v>-1.8350999999999999E-14</v>
      </c>
      <c r="P36" s="8">
        <v>-26.446000000000002</v>
      </c>
      <c r="Q36" s="9">
        <v>-9.1754E-15</v>
      </c>
      <c r="R36" s="9">
        <v>-1.8350999999999999E-14</v>
      </c>
      <c r="S36" s="8">
        <v>1</v>
      </c>
      <c r="T36" s="8">
        <v>34</v>
      </c>
      <c r="U36" s="8">
        <v>0</v>
      </c>
      <c r="V36" s="8">
        <v>0.25</v>
      </c>
      <c r="W36" s="8">
        <v>0.3</v>
      </c>
    </row>
    <row r="37" spans="1:23" x14ac:dyDescent="0.15">
      <c r="A37" s="8">
        <v>1</v>
      </c>
      <c r="B37" s="8">
        <v>-24.785</v>
      </c>
      <c r="C37" s="9">
        <v>-8.5989000000000002E-15</v>
      </c>
      <c r="D37" s="9">
        <v>-1.7197999999999999E-14</v>
      </c>
      <c r="E37" s="8">
        <v>0</v>
      </c>
      <c r="F37" s="8">
        <v>1</v>
      </c>
      <c r="G37" s="9">
        <v>-1.7001000000000001E-8</v>
      </c>
      <c r="H37" s="8">
        <v>0</v>
      </c>
      <c r="I37" s="8">
        <v>0</v>
      </c>
      <c r="J37" s="9">
        <v>-1.3593000000000001E-9</v>
      </c>
      <c r="K37" s="8">
        <v>0</v>
      </c>
      <c r="L37" s="8">
        <v>0</v>
      </c>
      <c r="M37" s="8">
        <v>-26.579000000000001</v>
      </c>
      <c r="N37" s="9">
        <v>-3.1425999999999999E-14</v>
      </c>
      <c r="O37" s="9">
        <v>1.4901000000000001E-7</v>
      </c>
      <c r="P37" s="8">
        <v>-26.579000000000001</v>
      </c>
      <c r="Q37" s="9">
        <v>-3.1425999999999999E-14</v>
      </c>
      <c r="R37" s="9">
        <v>1.4901000000000001E-7</v>
      </c>
      <c r="S37" s="8">
        <v>1</v>
      </c>
      <c r="T37" s="8">
        <v>35</v>
      </c>
      <c r="U37" s="8">
        <v>0</v>
      </c>
      <c r="V37" s="8">
        <v>0.25</v>
      </c>
      <c r="W37" s="8">
        <v>0.3</v>
      </c>
    </row>
    <row r="38" spans="1:23" x14ac:dyDescent="0.15">
      <c r="A38" s="8">
        <v>1</v>
      </c>
      <c r="B38" s="8">
        <v>-24.969000000000001</v>
      </c>
      <c r="C38" s="9">
        <v>-8.6628000000000003E-15</v>
      </c>
      <c r="D38" s="9">
        <v>-1.7326000000000001E-14</v>
      </c>
      <c r="E38" s="8">
        <v>0</v>
      </c>
      <c r="F38" s="8">
        <v>1</v>
      </c>
      <c r="G38" s="9">
        <v>-1.5926E-8</v>
      </c>
      <c r="H38" s="8">
        <v>0</v>
      </c>
      <c r="I38" s="8">
        <v>0</v>
      </c>
      <c r="J38" s="9">
        <v>-1.0107E-9</v>
      </c>
      <c r="K38" s="8">
        <v>0</v>
      </c>
      <c r="L38" s="8">
        <v>0</v>
      </c>
      <c r="M38" s="8">
        <v>-26.713000000000001</v>
      </c>
      <c r="N38" s="9">
        <v>-9.2679000000000006E-15</v>
      </c>
      <c r="O38" s="9">
        <v>-1.8536E-14</v>
      </c>
      <c r="P38" s="8">
        <v>-26.713000000000001</v>
      </c>
      <c r="Q38" s="9">
        <v>-9.2679000000000006E-15</v>
      </c>
      <c r="R38" s="9">
        <v>-1.8536E-14</v>
      </c>
      <c r="S38" s="8">
        <v>1</v>
      </c>
      <c r="T38" s="8">
        <v>36</v>
      </c>
      <c r="U38" s="8">
        <v>0</v>
      </c>
      <c r="V38" s="8">
        <v>0.25</v>
      </c>
      <c r="W38" s="8">
        <v>0.3</v>
      </c>
    </row>
    <row r="39" spans="1:23" x14ac:dyDescent="0.15">
      <c r="A39" s="8">
        <v>1</v>
      </c>
      <c r="B39" s="8">
        <v>-25.152999999999999</v>
      </c>
      <c r="C39" s="9">
        <v>-1.4278E-14</v>
      </c>
      <c r="D39" s="9">
        <v>3.7253000000000003E-8</v>
      </c>
      <c r="E39" s="8">
        <v>0</v>
      </c>
      <c r="F39" s="8">
        <v>1</v>
      </c>
      <c r="G39" s="9">
        <v>-1.4947999999999999E-8</v>
      </c>
      <c r="H39" s="8">
        <v>0</v>
      </c>
      <c r="I39" s="8">
        <v>0</v>
      </c>
      <c r="J39" s="9">
        <v>-7.0817000000000005E-10</v>
      </c>
      <c r="K39" s="8">
        <v>0</v>
      </c>
      <c r="L39" s="8">
        <v>0</v>
      </c>
      <c r="M39" s="8">
        <v>-26.849</v>
      </c>
      <c r="N39" s="9">
        <v>-9.3149999999999993E-15</v>
      </c>
      <c r="O39" s="9">
        <v>-1.8629999999999999E-14</v>
      </c>
      <c r="P39" s="8">
        <v>-26.849</v>
      </c>
      <c r="Q39" s="9">
        <v>-9.3149999999999993E-15</v>
      </c>
      <c r="R39" s="9">
        <v>-1.8629999999999999E-14</v>
      </c>
      <c r="S39" s="8">
        <v>1</v>
      </c>
      <c r="T39" s="8">
        <v>37</v>
      </c>
      <c r="U39" s="8">
        <v>0</v>
      </c>
      <c r="V39" s="8">
        <v>0.25</v>
      </c>
      <c r="W39" s="8">
        <v>0.3</v>
      </c>
    </row>
    <row r="40" spans="1:23" x14ac:dyDescent="0.15">
      <c r="A40" s="8">
        <v>1</v>
      </c>
      <c r="B40" s="8">
        <v>-25.338000000000001</v>
      </c>
      <c r="C40" s="9">
        <v>-8.7909999999999995E-15</v>
      </c>
      <c r="D40" s="9">
        <v>-1.7581999999999999E-14</v>
      </c>
      <c r="E40" s="8">
        <v>0</v>
      </c>
      <c r="F40" s="8">
        <v>1</v>
      </c>
      <c r="G40" s="9">
        <v>-1.4055000000000001E-8</v>
      </c>
      <c r="H40" s="8">
        <v>0</v>
      </c>
      <c r="I40" s="8">
        <v>0</v>
      </c>
      <c r="J40" s="9">
        <v>-4.4385000000000002E-10</v>
      </c>
      <c r="K40" s="8">
        <v>0</v>
      </c>
      <c r="L40" s="8">
        <v>0</v>
      </c>
      <c r="M40" s="8">
        <v>-26.986000000000001</v>
      </c>
      <c r="N40" s="9">
        <v>-9.3625999999999995E-15</v>
      </c>
      <c r="O40" s="9">
        <v>-1.8725E-14</v>
      </c>
      <c r="P40" s="8">
        <v>-26.986000000000001</v>
      </c>
      <c r="Q40" s="9">
        <v>-9.3625999999999995E-15</v>
      </c>
      <c r="R40" s="9">
        <v>-1.8725E-14</v>
      </c>
      <c r="S40" s="8">
        <v>1</v>
      </c>
      <c r="T40" s="8">
        <v>38</v>
      </c>
      <c r="U40" s="8">
        <v>0</v>
      </c>
      <c r="V40" s="8">
        <v>0.25</v>
      </c>
      <c r="W40" s="8">
        <v>0.3</v>
      </c>
    </row>
    <row r="41" spans="1:23" x14ac:dyDescent="0.15">
      <c r="A41" s="8">
        <v>1</v>
      </c>
      <c r="B41" s="8">
        <v>-25.523</v>
      </c>
      <c r="C41" s="9">
        <v>-8.8550999999999999E-15</v>
      </c>
      <c r="D41" s="9">
        <v>-1.7710000000000001E-14</v>
      </c>
      <c r="E41" s="8">
        <v>0</v>
      </c>
      <c r="F41" s="8">
        <v>1</v>
      </c>
      <c r="G41" s="9">
        <v>-1.3236E-8</v>
      </c>
      <c r="H41" s="8">
        <v>0</v>
      </c>
      <c r="I41" s="8">
        <v>0</v>
      </c>
      <c r="J41" s="9">
        <v>-2.1146999999999999E-10</v>
      </c>
      <c r="K41" s="8">
        <v>0</v>
      </c>
      <c r="L41" s="8">
        <v>0</v>
      </c>
      <c r="M41" s="8">
        <v>-27.123999999999999</v>
      </c>
      <c r="N41" s="9">
        <v>-9.4104999999999994E-15</v>
      </c>
      <c r="O41" s="9">
        <v>-1.8820999999999999E-14</v>
      </c>
      <c r="P41" s="8">
        <v>-27.123999999999999</v>
      </c>
      <c r="Q41" s="9">
        <v>-9.4104999999999994E-15</v>
      </c>
      <c r="R41" s="9">
        <v>-1.8820999999999999E-14</v>
      </c>
      <c r="S41" s="8">
        <v>1</v>
      </c>
      <c r="T41" s="8">
        <v>39</v>
      </c>
      <c r="U41" s="8">
        <v>0</v>
      </c>
      <c r="V41" s="8">
        <v>0.25</v>
      </c>
      <c r="W41" s="8">
        <v>0.3</v>
      </c>
    </row>
    <row r="42" spans="1:23" x14ac:dyDescent="0.15">
      <c r="A42" s="8">
        <v>1</v>
      </c>
      <c r="B42" s="8">
        <v>-25.707999999999998</v>
      </c>
      <c r="C42" s="9">
        <v>-8.9192000000000003E-15</v>
      </c>
      <c r="D42" s="9">
        <v>-1.7838E-14</v>
      </c>
      <c r="E42" s="8">
        <v>0</v>
      </c>
      <c r="F42" s="8">
        <v>1</v>
      </c>
      <c r="G42" s="9">
        <v>-1.2480999999999999E-8</v>
      </c>
      <c r="H42" s="8">
        <v>0</v>
      </c>
      <c r="I42" s="8">
        <v>0</v>
      </c>
      <c r="J42" s="9">
        <v>-6.014E-12</v>
      </c>
      <c r="K42" s="8">
        <v>0</v>
      </c>
      <c r="L42" s="8">
        <v>0</v>
      </c>
      <c r="M42" s="8">
        <v>-27.263000000000002</v>
      </c>
      <c r="N42" s="9">
        <v>-9.4587000000000004E-15</v>
      </c>
      <c r="O42" s="9">
        <v>-1.8917E-14</v>
      </c>
      <c r="P42" s="8">
        <v>-27.263000000000002</v>
      </c>
      <c r="Q42" s="9">
        <v>-9.4587000000000004E-15</v>
      </c>
      <c r="R42" s="9">
        <v>-1.8917E-14</v>
      </c>
      <c r="S42" s="8">
        <v>1</v>
      </c>
      <c r="T42" s="8">
        <v>40</v>
      </c>
      <c r="U42" s="8">
        <v>0</v>
      </c>
      <c r="V42" s="8">
        <v>0.25</v>
      </c>
      <c r="W42" s="8">
        <v>0.3</v>
      </c>
    </row>
    <row r="43" spans="1:23" x14ac:dyDescent="0.15">
      <c r="A43" s="8">
        <v>1</v>
      </c>
      <c r="B43" s="8">
        <v>-25.891999999999999</v>
      </c>
      <c r="C43" s="9">
        <v>-8.9831999999999997E-15</v>
      </c>
      <c r="D43" s="9">
        <v>-1.7965999999999999E-14</v>
      </c>
      <c r="E43" s="8">
        <v>0</v>
      </c>
      <c r="F43" s="8">
        <v>1</v>
      </c>
      <c r="G43" s="9">
        <v>-1.1783E-8</v>
      </c>
      <c r="H43" s="8">
        <v>0</v>
      </c>
      <c r="I43" s="8">
        <v>0</v>
      </c>
      <c r="J43" s="9">
        <v>1.7659999999999999E-10</v>
      </c>
      <c r="K43" s="8">
        <v>0</v>
      </c>
      <c r="L43" s="8">
        <v>0</v>
      </c>
      <c r="M43" s="8">
        <v>-27.402000000000001</v>
      </c>
      <c r="N43" s="9">
        <v>-9.5071000000000002E-15</v>
      </c>
      <c r="O43" s="9">
        <v>-1.9013999999999999E-14</v>
      </c>
      <c r="P43" s="8">
        <v>-27.402000000000001</v>
      </c>
      <c r="Q43" s="9">
        <v>-9.5071000000000002E-15</v>
      </c>
      <c r="R43" s="9">
        <v>-1.9013999999999999E-14</v>
      </c>
      <c r="S43" s="8">
        <v>1</v>
      </c>
      <c r="T43" s="8">
        <v>41</v>
      </c>
      <c r="U43" s="8">
        <v>0</v>
      </c>
      <c r="V43" s="8">
        <v>0.25</v>
      </c>
      <c r="W43" s="8">
        <v>0.3</v>
      </c>
    </row>
    <row r="44" spans="1:23" x14ac:dyDescent="0.15">
      <c r="A44" s="8">
        <v>1</v>
      </c>
      <c r="B44" s="8">
        <v>-26.076000000000001</v>
      </c>
      <c r="C44" s="9">
        <v>-1.4597999999999999E-14</v>
      </c>
      <c r="D44" s="9">
        <v>3.7253000000000003E-8</v>
      </c>
      <c r="E44" s="8">
        <v>0</v>
      </c>
      <c r="F44" s="8">
        <v>1</v>
      </c>
      <c r="G44" s="9">
        <v>-1.1136E-8</v>
      </c>
      <c r="H44" s="8">
        <v>0</v>
      </c>
      <c r="I44" s="8">
        <v>0</v>
      </c>
      <c r="J44" s="9">
        <v>3.3968999999999999E-10</v>
      </c>
      <c r="K44" s="8">
        <v>0</v>
      </c>
      <c r="L44" s="8">
        <v>0</v>
      </c>
      <c r="M44" s="8">
        <v>-27.542000000000002</v>
      </c>
      <c r="N44" s="9">
        <v>-9.5555999999999993E-15</v>
      </c>
      <c r="O44" s="9">
        <v>-1.9111E-14</v>
      </c>
      <c r="P44" s="8">
        <v>-27.542000000000002</v>
      </c>
      <c r="Q44" s="9">
        <v>-9.5555999999999993E-15</v>
      </c>
      <c r="R44" s="9">
        <v>-1.9111E-14</v>
      </c>
      <c r="S44" s="8">
        <v>1</v>
      </c>
      <c r="T44" s="8">
        <v>42</v>
      </c>
      <c r="U44" s="8">
        <v>0</v>
      </c>
      <c r="V44" s="8">
        <v>0.25</v>
      </c>
      <c r="W44" s="8">
        <v>0.3</v>
      </c>
    </row>
    <row r="45" spans="1:23" x14ac:dyDescent="0.15">
      <c r="A45" s="8">
        <v>1</v>
      </c>
      <c r="B45" s="8">
        <v>-26.259</v>
      </c>
      <c r="C45" s="9">
        <v>-9.1105E-15</v>
      </c>
      <c r="D45" s="9">
        <v>-1.8221E-14</v>
      </c>
      <c r="E45" s="8">
        <v>0</v>
      </c>
      <c r="F45" s="8">
        <v>1</v>
      </c>
      <c r="G45" s="9">
        <v>-1.0534E-8</v>
      </c>
      <c r="H45" s="8">
        <v>0</v>
      </c>
      <c r="I45" s="8">
        <v>0</v>
      </c>
      <c r="J45" s="9">
        <v>4.8600999999999996E-10</v>
      </c>
      <c r="K45" s="8">
        <v>0</v>
      </c>
      <c r="L45" s="8">
        <v>0</v>
      </c>
      <c r="M45" s="8">
        <v>-27.681999999999999</v>
      </c>
      <c r="N45" s="9">
        <v>-9.6043000000000003E-15</v>
      </c>
      <c r="O45" s="9">
        <v>-1.9209000000000001E-14</v>
      </c>
      <c r="P45" s="8">
        <v>-27.681999999999999</v>
      </c>
      <c r="Q45" s="9">
        <v>-9.6043000000000003E-15</v>
      </c>
      <c r="R45" s="9">
        <v>-1.9209000000000001E-14</v>
      </c>
      <c r="S45" s="8">
        <v>1</v>
      </c>
      <c r="T45" s="8">
        <v>43</v>
      </c>
      <c r="U45" s="8">
        <v>0</v>
      </c>
      <c r="V45" s="8">
        <v>0.25</v>
      </c>
      <c r="W45" s="8">
        <v>0.3</v>
      </c>
    </row>
    <row r="46" spans="1:23" x14ac:dyDescent="0.15">
      <c r="A46" s="8">
        <v>1</v>
      </c>
      <c r="B46" s="8">
        <v>-26.442</v>
      </c>
      <c r="C46" s="9">
        <v>-1.8626000000000001E-8</v>
      </c>
      <c r="D46" s="9">
        <v>1.8626000000000001E-8</v>
      </c>
      <c r="E46" s="8">
        <v>0</v>
      </c>
      <c r="F46" s="8">
        <v>1</v>
      </c>
      <c r="G46" s="9">
        <v>-9.9718000000000007E-9</v>
      </c>
      <c r="H46" s="8">
        <v>0</v>
      </c>
      <c r="I46" s="8">
        <v>0</v>
      </c>
      <c r="J46" s="9">
        <v>6.1784000000000001E-10</v>
      </c>
      <c r="K46" s="8">
        <v>0</v>
      </c>
      <c r="L46" s="8">
        <v>0</v>
      </c>
      <c r="M46" s="8">
        <v>-27.823</v>
      </c>
      <c r="N46" s="9">
        <v>-9.6529999999999997E-15</v>
      </c>
      <c r="O46" s="9">
        <v>-1.9305999999999999E-14</v>
      </c>
      <c r="P46" s="8">
        <v>-27.823</v>
      </c>
      <c r="Q46" s="9">
        <v>-9.6529999999999997E-15</v>
      </c>
      <c r="R46" s="9">
        <v>-1.9305999999999999E-14</v>
      </c>
      <c r="S46" s="8">
        <v>1</v>
      </c>
      <c r="T46" s="8">
        <v>44</v>
      </c>
      <c r="U46" s="8">
        <v>0</v>
      </c>
      <c r="V46" s="8">
        <v>0.25</v>
      </c>
      <c r="W46" s="8">
        <v>0.3</v>
      </c>
    </row>
    <row r="47" spans="1:23" x14ac:dyDescent="0.15">
      <c r="A47" s="8">
        <v>1</v>
      </c>
      <c r="B47" s="8">
        <v>-26.623999999999999</v>
      </c>
      <c r="C47" s="9">
        <v>-9.2368999999999999E-15</v>
      </c>
      <c r="D47" s="9">
        <v>-1.8473999999999998E-14</v>
      </c>
      <c r="E47" s="8">
        <v>0</v>
      </c>
      <c r="F47" s="8">
        <v>1</v>
      </c>
      <c r="G47" s="9">
        <v>-9.4456999999999993E-9</v>
      </c>
      <c r="H47" s="8">
        <v>0</v>
      </c>
      <c r="I47" s="8">
        <v>0</v>
      </c>
      <c r="J47" s="9">
        <v>7.3707000000000002E-10</v>
      </c>
      <c r="K47" s="8">
        <v>0</v>
      </c>
      <c r="L47" s="8">
        <v>0</v>
      </c>
      <c r="M47" s="8">
        <v>-27.963000000000001</v>
      </c>
      <c r="N47" s="9">
        <v>-9.7017000000000006E-15</v>
      </c>
      <c r="O47" s="9">
        <v>-1.9403000000000001E-14</v>
      </c>
      <c r="P47" s="8">
        <v>-27.963000000000001</v>
      </c>
      <c r="Q47" s="9">
        <v>-9.7017000000000006E-15</v>
      </c>
      <c r="R47" s="9">
        <v>-1.9403000000000001E-14</v>
      </c>
      <c r="S47" s="8">
        <v>1</v>
      </c>
      <c r="T47" s="8">
        <v>45</v>
      </c>
      <c r="U47" s="8">
        <v>0</v>
      </c>
      <c r="V47" s="8">
        <v>0.25</v>
      </c>
      <c r="W47" s="8">
        <v>0.3</v>
      </c>
    </row>
    <row r="48" spans="1:23" x14ac:dyDescent="0.15">
      <c r="A48" s="8">
        <v>1</v>
      </c>
      <c r="B48" s="8">
        <v>-26.805</v>
      </c>
      <c r="C48" s="9">
        <v>-9.2996999999999992E-15</v>
      </c>
      <c r="D48" s="9">
        <v>-1.8599000000000001E-14</v>
      </c>
      <c r="E48" s="8">
        <v>0</v>
      </c>
      <c r="F48" s="8">
        <v>1</v>
      </c>
      <c r="G48" s="9">
        <v>-8.9517E-9</v>
      </c>
      <c r="H48" s="8">
        <v>0</v>
      </c>
      <c r="I48" s="8">
        <v>0</v>
      </c>
      <c r="J48" s="9">
        <v>8.4531000000000005E-10</v>
      </c>
      <c r="K48" s="8">
        <v>0</v>
      </c>
      <c r="L48" s="8">
        <v>0</v>
      </c>
      <c r="M48" s="8">
        <v>-28.103999999999999</v>
      </c>
      <c r="N48" s="9">
        <v>-9.7504E-15</v>
      </c>
      <c r="O48" s="9">
        <v>-1.9500999999999999E-14</v>
      </c>
      <c r="P48" s="8">
        <v>-28.103999999999999</v>
      </c>
      <c r="Q48" s="9">
        <v>-9.7504E-15</v>
      </c>
      <c r="R48" s="9">
        <v>-1.9500999999999999E-14</v>
      </c>
      <c r="S48" s="8">
        <v>1</v>
      </c>
      <c r="T48" s="8">
        <v>46</v>
      </c>
      <c r="U48" s="8">
        <v>0</v>
      </c>
      <c r="V48" s="8">
        <v>0.25</v>
      </c>
      <c r="W48" s="8">
        <v>0.3</v>
      </c>
    </row>
    <row r="49" spans="1:23" x14ac:dyDescent="0.15">
      <c r="A49" s="8">
        <v>1</v>
      </c>
      <c r="B49" s="8">
        <v>-26.984999999999999</v>
      </c>
      <c r="C49" s="9">
        <v>-9.3620999999999996E-15</v>
      </c>
      <c r="D49" s="9">
        <v>-1.8724000000000001E-14</v>
      </c>
      <c r="E49" s="8">
        <v>0</v>
      </c>
      <c r="F49" s="8">
        <v>1</v>
      </c>
      <c r="G49" s="9">
        <v>-8.4867999999999993E-9</v>
      </c>
      <c r="H49" s="8">
        <v>0</v>
      </c>
      <c r="I49" s="8">
        <v>0</v>
      </c>
      <c r="J49" s="9">
        <v>9.4390000000000002E-10</v>
      </c>
      <c r="K49" s="8">
        <v>0</v>
      </c>
      <c r="L49" s="8">
        <v>0</v>
      </c>
      <c r="M49" s="8">
        <v>-28.244</v>
      </c>
      <c r="N49" s="9">
        <v>-9.7990999999999994E-15</v>
      </c>
      <c r="O49" s="9">
        <v>-1.9598E-14</v>
      </c>
      <c r="P49" s="8">
        <v>-28.244</v>
      </c>
      <c r="Q49" s="9">
        <v>-9.7990999999999994E-15</v>
      </c>
      <c r="R49" s="9">
        <v>-1.9598E-14</v>
      </c>
      <c r="S49" s="8">
        <v>1</v>
      </c>
      <c r="T49" s="8">
        <v>47</v>
      </c>
      <c r="U49" s="8">
        <v>0</v>
      </c>
      <c r="V49" s="8">
        <v>0.25</v>
      </c>
      <c r="W49" s="8">
        <v>0.3</v>
      </c>
    </row>
    <row r="50" spans="1:23" x14ac:dyDescent="0.15">
      <c r="A50" s="8">
        <v>1</v>
      </c>
      <c r="B50" s="8">
        <v>-27.164000000000001</v>
      </c>
      <c r="C50" s="9">
        <v>-9.4242999999999997E-15</v>
      </c>
      <c r="D50" s="9">
        <v>-1.8849E-14</v>
      </c>
      <c r="E50" s="8">
        <v>0</v>
      </c>
      <c r="F50" s="8">
        <v>1</v>
      </c>
      <c r="G50" s="9">
        <v>-8.0480000000000003E-9</v>
      </c>
      <c r="H50" s="8">
        <v>0</v>
      </c>
      <c r="I50" s="8">
        <v>0</v>
      </c>
      <c r="J50" s="9">
        <v>1.0339999999999999E-9</v>
      </c>
      <c r="K50" s="8">
        <v>0</v>
      </c>
      <c r="L50" s="8">
        <v>0</v>
      </c>
      <c r="M50" s="8">
        <v>-28.384</v>
      </c>
      <c r="N50" s="9">
        <v>-9.8476000000000001E-15</v>
      </c>
      <c r="O50" s="9">
        <v>-1.9695000000000002E-14</v>
      </c>
      <c r="P50" s="8">
        <v>-28.384</v>
      </c>
      <c r="Q50" s="9">
        <v>-9.8476000000000001E-15</v>
      </c>
      <c r="R50" s="9">
        <v>-1.9695000000000002E-14</v>
      </c>
      <c r="S50" s="8">
        <v>1</v>
      </c>
      <c r="T50" s="8">
        <v>48</v>
      </c>
      <c r="U50" s="8">
        <v>0</v>
      </c>
      <c r="V50" s="8">
        <v>0.25</v>
      </c>
      <c r="W50" s="8">
        <v>0.3</v>
      </c>
    </row>
    <row r="51" spans="1:23" x14ac:dyDescent="0.15">
      <c r="A51" s="8">
        <v>1</v>
      </c>
      <c r="B51" s="8">
        <v>-27.341999999999999</v>
      </c>
      <c r="C51" s="9">
        <v>-9.4860999999999993E-15</v>
      </c>
      <c r="D51" s="9">
        <v>-1.8972E-14</v>
      </c>
      <c r="E51" s="8">
        <v>0</v>
      </c>
      <c r="F51" s="8">
        <v>1</v>
      </c>
      <c r="G51" s="9">
        <v>-7.6329999999999996E-9</v>
      </c>
      <c r="H51" s="8">
        <v>0</v>
      </c>
      <c r="I51" s="8">
        <v>0</v>
      </c>
      <c r="J51" s="9">
        <v>1.1166000000000001E-9</v>
      </c>
      <c r="K51" s="8">
        <v>0</v>
      </c>
      <c r="L51" s="8">
        <v>0</v>
      </c>
      <c r="M51" s="8">
        <v>-28.523</v>
      </c>
      <c r="N51" s="9">
        <v>-9.8960999999999992E-15</v>
      </c>
      <c r="O51" s="9">
        <v>-1.9792E-14</v>
      </c>
      <c r="P51" s="8">
        <v>-28.523</v>
      </c>
      <c r="Q51" s="9">
        <v>-9.8960999999999992E-15</v>
      </c>
      <c r="R51" s="9">
        <v>-1.9792E-14</v>
      </c>
      <c r="S51" s="8">
        <v>1</v>
      </c>
      <c r="T51" s="8">
        <v>49</v>
      </c>
      <c r="U51" s="8">
        <v>0</v>
      </c>
      <c r="V51" s="8">
        <v>0.25</v>
      </c>
      <c r="W51" s="8">
        <v>0.3</v>
      </c>
    </row>
    <row r="52" spans="1:23" x14ac:dyDescent="0.15">
      <c r="A52" s="8">
        <v>1</v>
      </c>
      <c r="B52" s="8">
        <v>-27.518999999999998</v>
      </c>
      <c r="C52" s="9">
        <v>-9.5474999999999998E-15</v>
      </c>
      <c r="D52" s="9">
        <v>-1.9095E-14</v>
      </c>
      <c r="E52" s="8">
        <v>0</v>
      </c>
      <c r="F52" s="8">
        <v>1</v>
      </c>
      <c r="G52" s="9">
        <v>-7.2393999999999996E-9</v>
      </c>
      <c r="H52" s="8">
        <v>0</v>
      </c>
      <c r="I52" s="8">
        <v>0</v>
      </c>
      <c r="J52" s="9">
        <v>1.1925E-9</v>
      </c>
      <c r="K52" s="8">
        <v>0</v>
      </c>
      <c r="L52" s="8">
        <v>0</v>
      </c>
      <c r="M52" s="8">
        <v>-28.663</v>
      </c>
      <c r="N52" s="9">
        <v>-9.9443999999999996E-15</v>
      </c>
      <c r="O52" s="9">
        <v>-1.9889000000000001E-14</v>
      </c>
      <c r="P52" s="8">
        <v>-28.663</v>
      </c>
      <c r="Q52" s="9">
        <v>-9.9443999999999996E-15</v>
      </c>
      <c r="R52" s="9">
        <v>-1.9889000000000001E-14</v>
      </c>
      <c r="S52" s="8">
        <v>1</v>
      </c>
      <c r="T52" s="8">
        <v>50</v>
      </c>
      <c r="U52" s="8">
        <v>0</v>
      </c>
      <c r="V52" s="8">
        <v>0.25</v>
      </c>
      <c r="W52" s="8">
        <v>0.3</v>
      </c>
    </row>
    <row r="53" spans="1:23" x14ac:dyDescent="0.15">
      <c r="A53" s="8">
        <v>1</v>
      </c>
      <c r="B53" s="8">
        <v>-27.695</v>
      </c>
      <c r="C53" s="9">
        <v>-9.6086000000000008E-15</v>
      </c>
      <c r="D53" s="9">
        <v>-1.9217E-14</v>
      </c>
      <c r="E53" s="8">
        <v>0</v>
      </c>
      <c r="F53" s="8">
        <v>1</v>
      </c>
      <c r="G53" s="9">
        <v>-6.8653000000000003E-9</v>
      </c>
      <c r="H53" s="8">
        <v>0</v>
      </c>
      <c r="I53" s="8">
        <v>0</v>
      </c>
      <c r="J53" s="9">
        <v>1.2624999999999999E-9</v>
      </c>
      <c r="K53" s="8">
        <v>0</v>
      </c>
      <c r="L53" s="8">
        <v>0</v>
      </c>
      <c r="M53" s="8">
        <v>-28.800999999999998</v>
      </c>
      <c r="N53" s="9">
        <v>-9.9924999999999998E-15</v>
      </c>
      <c r="O53" s="9">
        <v>-1.9985E-14</v>
      </c>
      <c r="P53" s="8">
        <v>-28.800999999999998</v>
      </c>
      <c r="Q53" s="9">
        <v>-9.9924999999999998E-15</v>
      </c>
      <c r="R53" s="9">
        <v>-1.9985E-14</v>
      </c>
      <c r="S53" s="8">
        <v>1</v>
      </c>
      <c r="T53" s="8">
        <v>51</v>
      </c>
      <c r="U53" s="8">
        <v>0</v>
      </c>
      <c r="V53" s="8">
        <v>0.25</v>
      </c>
      <c r="W53" s="8">
        <v>0.3</v>
      </c>
    </row>
    <row r="54" spans="1:23" x14ac:dyDescent="0.15">
      <c r="A54" s="8">
        <v>1</v>
      </c>
      <c r="B54" s="8">
        <v>-27.87</v>
      </c>
      <c r="C54" s="9">
        <v>-9.6692999999999996E-15</v>
      </c>
      <c r="D54" s="9">
        <v>-1.9339E-14</v>
      </c>
      <c r="E54" s="8">
        <v>0</v>
      </c>
      <c r="F54" s="8">
        <v>1</v>
      </c>
      <c r="G54" s="9">
        <v>-6.5087999999999997E-9</v>
      </c>
      <c r="H54" s="8">
        <v>0</v>
      </c>
      <c r="I54" s="8">
        <v>0</v>
      </c>
      <c r="J54" s="9">
        <v>1.3271999999999999E-9</v>
      </c>
      <c r="K54" s="8">
        <v>0</v>
      </c>
      <c r="L54" s="8">
        <v>0</v>
      </c>
      <c r="M54" s="8">
        <v>-28.94</v>
      </c>
      <c r="N54" s="9">
        <v>-1.0040000000000001E-14</v>
      </c>
      <c r="O54" s="9">
        <v>-2.0081000000000001E-14</v>
      </c>
      <c r="P54" s="8">
        <v>-28.94</v>
      </c>
      <c r="Q54" s="9">
        <v>-1.0040000000000001E-14</v>
      </c>
      <c r="R54" s="9">
        <v>-2.0081000000000001E-14</v>
      </c>
      <c r="S54" s="8">
        <v>1</v>
      </c>
      <c r="T54" s="8">
        <v>52</v>
      </c>
      <c r="U54" s="8">
        <v>0</v>
      </c>
      <c r="V54" s="8">
        <v>0.25</v>
      </c>
      <c r="W54" s="8">
        <v>0.3</v>
      </c>
    </row>
    <row r="55" spans="1:23" x14ac:dyDescent="0.15">
      <c r="A55" s="8">
        <v>1</v>
      </c>
      <c r="B55" s="8">
        <v>-28.044</v>
      </c>
      <c r="C55" s="9">
        <v>-9.7297000000000003E-15</v>
      </c>
      <c r="D55" s="9">
        <v>-1.9459E-14</v>
      </c>
      <c r="E55" s="8">
        <v>0</v>
      </c>
      <c r="F55" s="8">
        <v>1</v>
      </c>
      <c r="G55" s="9">
        <v>-6.1684999999999999E-9</v>
      </c>
      <c r="H55" s="8">
        <v>0</v>
      </c>
      <c r="I55" s="8">
        <v>0</v>
      </c>
      <c r="J55" s="9">
        <v>1.3871000000000001E-9</v>
      </c>
      <c r="K55" s="8">
        <v>0</v>
      </c>
      <c r="L55" s="8">
        <v>0</v>
      </c>
      <c r="M55" s="8">
        <v>-29.077000000000002</v>
      </c>
      <c r="N55" s="9">
        <v>-1.0088E-14</v>
      </c>
      <c r="O55" s="9">
        <v>-2.0176E-14</v>
      </c>
      <c r="P55" s="8">
        <v>-29.077000000000002</v>
      </c>
      <c r="Q55" s="9">
        <v>-1.0088E-14</v>
      </c>
      <c r="R55" s="9">
        <v>-2.0176E-14</v>
      </c>
      <c r="S55" s="8">
        <v>1</v>
      </c>
      <c r="T55" s="8">
        <v>53</v>
      </c>
      <c r="U55" s="8">
        <v>0</v>
      </c>
      <c r="V55" s="8">
        <v>0.25</v>
      </c>
      <c r="W55" s="8">
        <v>0.3</v>
      </c>
    </row>
    <row r="56" spans="1:23" x14ac:dyDescent="0.15">
      <c r="A56" s="8">
        <v>1</v>
      </c>
      <c r="B56" s="8">
        <v>-28.216999999999999</v>
      </c>
      <c r="C56" s="9">
        <v>-9.7895999999999996E-15</v>
      </c>
      <c r="D56" s="9">
        <v>-1.9579E-14</v>
      </c>
      <c r="E56" s="8">
        <v>0</v>
      </c>
      <c r="F56" s="8">
        <v>1</v>
      </c>
      <c r="G56" s="9">
        <v>-5.8427999999999997E-9</v>
      </c>
      <c r="H56" s="8">
        <v>0</v>
      </c>
      <c r="I56" s="8">
        <v>0</v>
      </c>
      <c r="J56" s="9">
        <v>1.4428E-9</v>
      </c>
      <c r="K56" s="8">
        <v>0</v>
      </c>
      <c r="L56" s="8">
        <v>0</v>
      </c>
      <c r="M56" s="8">
        <v>-29.213999999999999</v>
      </c>
      <c r="N56" s="9">
        <v>-1.0136000000000001E-14</v>
      </c>
      <c r="O56" s="9">
        <v>-2.0272000000000001E-14</v>
      </c>
      <c r="P56" s="8">
        <v>-29.213999999999999</v>
      </c>
      <c r="Q56" s="9">
        <v>-1.0136000000000001E-14</v>
      </c>
      <c r="R56" s="9">
        <v>-2.0272000000000001E-14</v>
      </c>
      <c r="S56" s="8">
        <v>1</v>
      </c>
      <c r="T56" s="8">
        <v>54</v>
      </c>
      <c r="U56" s="8">
        <v>0</v>
      </c>
      <c r="V56" s="8">
        <v>0.25</v>
      </c>
      <c r="W56" s="8">
        <v>0.3</v>
      </c>
    </row>
    <row r="57" spans="1:23" x14ac:dyDescent="0.15">
      <c r="A57" s="8">
        <v>1</v>
      </c>
      <c r="B57" s="8">
        <v>-28.388000000000002</v>
      </c>
      <c r="C57" s="9">
        <v>-9.8492000000000008E-15</v>
      </c>
      <c r="D57" s="9">
        <v>-1.9698000000000001E-14</v>
      </c>
      <c r="E57" s="8">
        <v>0</v>
      </c>
      <c r="F57" s="8">
        <v>1</v>
      </c>
      <c r="G57" s="9">
        <v>-5.5305000000000003E-9</v>
      </c>
      <c r="H57" s="8">
        <v>0</v>
      </c>
      <c r="I57" s="8">
        <v>0</v>
      </c>
      <c r="J57" s="9">
        <v>1.4945E-9</v>
      </c>
      <c r="K57" s="8">
        <v>0</v>
      </c>
      <c r="L57" s="8">
        <v>0</v>
      </c>
      <c r="M57" s="8">
        <v>-29.350999999999999</v>
      </c>
      <c r="N57" s="9">
        <v>-1.0183E-14</v>
      </c>
      <c r="O57" s="9">
        <v>-2.0366E-14</v>
      </c>
      <c r="P57" s="8">
        <v>-29.350999999999999</v>
      </c>
      <c r="Q57" s="9">
        <v>-1.0183E-14</v>
      </c>
      <c r="R57" s="9">
        <v>-2.0366E-14</v>
      </c>
      <c r="S57" s="8">
        <v>1</v>
      </c>
      <c r="T57" s="8">
        <v>55</v>
      </c>
      <c r="U57" s="8">
        <v>0</v>
      </c>
      <c r="V57" s="8">
        <v>0.25</v>
      </c>
      <c r="W57" s="8">
        <v>0.3</v>
      </c>
    </row>
    <row r="58" spans="1:23" x14ac:dyDescent="0.15">
      <c r="A58" s="8">
        <v>1</v>
      </c>
      <c r="B58" s="8">
        <v>-28.559000000000001</v>
      </c>
      <c r="C58" s="9">
        <v>-9.9083999999999998E-15</v>
      </c>
      <c r="D58" s="9">
        <v>-1.9817000000000002E-14</v>
      </c>
      <c r="E58" s="8">
        <v>0</v>
      </c>
      <c r="F58" s="8">
        <v>1</v>
      </c>
      <c r="G58" s="9">
        <v>-5.2303E-9</v>
      </c>
      <c r="H58" s="8">
        <v>0</v>
      </c>
      <c r="I58" s="8">
        <v>0</v>
      </c>
      <c r="J58" s="9">
        <v>1.5428000000000001E-9</v>
      </c>
      <c r="K58" s="8">
        <v>0</v>
      </c>
      <c r="L58" s="8">
        <v>0</v>
      </c>
      <c r="M58" s="8">
        <v>-29.486000000000001</v>
      </c>
      <c r="N58" s="9">
        <v>-1.0229999999999999E-14</v>
      </c>
      <c r="O58" s="9">
        <v>-2.0459999999999999E-14</v>
      </c>
      <c r="P58" s="8">
        <v>-29.486000000000001</v>
      </c>
      <c r="Q58" s="9">
        <v>-1.0229999999999999E-14</v>
      </c>
      <c r="R58" s="9">
        <v>-2.0459999999999999E-14</v>
      </c>
      <c r="S58" s="8">
        <v>1</v>
      </c>
      <c r="T58" s="8">
        <v>56</v>
      </c>
      <c r="U58" s="8">
        <v>0</v>
      </c>
      <c r="V58" s="8">
        <v>0.25</v>
      </c>
      <c r="W58" s="8">
        <v>0.3</v>
      </c>
    </row>
    <row r="59" spans="1:23" x14ac:dyDescent="0.15">
      <c r="A59" s="8">
        <v>1</v>
      </c>
      <c r="B59" s="8">
        <v>-28.728000000000002</v>
      </c>
      <c r="C59" s="9">
        <v>-9.9671999999999999E-15</v>
      </c>
      <c r="D59" s="9">
        <v>-1.9933999999999999E-14</v>
      </c>
      <c r="E59" s="8">
        <v>0</v>
      </c>
      <c r="F59" s="8">
        <v>1</v>
      </c>
      <c r="G59" s="9">
        <v>-4.9412000000000003E-9</v>
      </c>
      <c r="H59" s="8">
        <v>0</v>
      </c>
      <c r="I59" s="8">
        <v>0</v>
      </c>
      <c r="J59" s="9">
        <v>1.5878E-9</v>
      </c>
      <c r="K59" s="8">
        <v>0</v>
      </c>
      <c r="L59" s="8">
        <v>0</v>
      </c>
      <c r="M59" s="8">
        <v>-29.620999999999999</v>
      </c>
      <c r="N59" s="9">
        <v>-1.0277E-14</v>
      </c>
      <c r="O59" s="9">
        <v>-2.0554000000000001E-14</v>
      </c>
      <c r="P59" s="8">
        <v>-29.620999999999999</v>
      </c>
      <c r="Q59" s="9">
        <v>-1.0277E-14</v>
      </c>
      <c r="R59" s="9">
        <v>-2.0554000000000001E-14</v>
      </c>
      <c r="S59" s="8">
        <v>1</v>
      </c>
      <c r="T59" s="8">
        <v>57</v>
      </c>
      <c r="U59" s="8">
        <v>0</v>
      </c>
      <c r="V59" s="8">
        <v>0.25</v>
      </c>
      <c r="W59" s="8">
        <v>0.3</v>
      </c>
    </row>
    <row r="60" spans="1:23" x14ac:dyDescent="0.15">
      <c r="A60" s="8">
        <v>1</v>
      </c>
      <c r="B60" s="8">
        <v>-28.896999999999998</v>
      </c>
      <c r="C60" s="9">
        <v>-1.5576999999999999E-14</v>
      </c>
      <c r="D60" s="9">
        <v>3.7253000000000003E-8</v>
      </c>
      <c r="E60" s="8">
        <v>0</v>
      </c>
      <c r="F60" s="8">
        <v>1</v>
      </c>
      <c r="G60" s="9">
        <v>-4.6621000000000003E-9</v>
      </c>
      <c r="H60" s="8">
        <v>0</v>
      </c>
      <c r="I60" s="8">
        <v>0</v>
      </c>
      <c r="J60" s="9">
        <v>1.6298999999999999E-9</v>
      </c>
      <c r="K60" s="8">
        <v>0</v>
      </c>
      <c r="L60" s="8">
        <v>0</v>
      </c>
      <c r="M60" s="8">
        <v>-29.754999999999999</v>
      </c>
      <c r="N60" s="9">
        <v>-1.0323E-14</v>
      </c>
      <c r="O60" s="9">
        <v>-2.0647E-14</v>
      </c>
      <c r="P60" s="8">
        <v>-29.754999999999999</v>
      </c>
      <c r="Q60" s="9">
        <v>-1.0323E-14</v>
      </c>
      <c r="R60" s="9">
        <v>-2.0647E-14</v>
      </c>
      <c r="S60" s="8">
        <v>1</v>
      </c>
      <c r="T60" s="8">
        <v>58</v>
      </c>
      <c r="U60" s="8">
        <v>0</v>
      </c>
      <c r="V60" s="8">
        <v>0.25</v>
      </c>
      <c r="W60" s="8">
        <v>0.3</v>
      </c>
    </row>
    <row r="61" spans="1:23" x14ac:dyDescent="0.15">
      <c r="A61" s="8">
        <v>1</v>
      </c>
      <c r="B61" s="8">
        <v>-29.064</v>
      </c>
      <c r="C61" s="9">
        <v>-1.0084000000000001E-14</v>
      </c>
      <c r="D61" s="9">
        <v>-2.0167000000000001E-14</v>
      </c>
      <c r="E61" s="8">
        <v>0</v>
      </c>
      <c r="F61" s="8">
        <v>1</v>
      </c>
      <c r="G61" s="9">
        <v>-4.3921000000000002E-9</v>
      </c>
      <c r="H61" s="8">
        <v>0</v>
      </c>
      <c r="I61" s="8">
        <v>0</v>
      </c>
      <c r="J61" s="9">
        <v>1.6694E-9</v>
      </c>
      <c r="K61" s="8">
        <v>0</v>
      </c>
      <c r="L61" s="8">
        <v>0</v>
      </c>
      <c r="M61" s="8">
        <v>-29.888000000000002</v>
      </c>
      <c r="N61" s="9">
        <v>-1.0368999999999999E-14</v>
      </c>
      <c r="O61" s="9">
        <v>-2.0738999999999999E-14</v>
      </c>
      <c r="P61" s="8">
        <v>-29.888000000000002</v>
      </c>
      <c r="Q61" s="9">
        <v>-1.0368999999999999E-14</v>
      </c>
      <c r="R61" s="9">
        <v>-2.0738999999999999E-14</v>
      </c>
      <c r="S61" s="8">
        <v>1</v>
      </c>
      <c r="T61" s="8">
        <v>59</v>
      </c>
      <c r="U61" s="8">
        <v>0</v>
      </c>
      <c r="V61" s="8">
        <v>0.25</v>
      </c>
      <c r="W61" s="8">
        <v>0.3</v>
      </c>
    </row>
    <row r="62" spans="1:23" x14ac:dyDescent="0.15">
      <c r="A62" s="8">
        <v>1</v>
      </c>
      <c r="B62" s="8">
        <v>-29.23</v>
      </c>
      <c r="C62" s="9">
        <v>-1.0141E-14</v>
      </c>
      <c r="D62" s="9">
        <v>-2.0281999999999999E-14</v>
      </c>
      <c r="E62" s="8">
        <v>0</v>
      </c>
      <c r="F62" s="8">
        <v>1</v>
      </c>
      <c r="G62" s="9">
        <v>-4.1303999999999997E-9</v>
      </c>
      <c r="H62" s="8">
        <v>0</v>
      </c>
      <c r="I62" s="8">
        <v>0</v>
      </c>
      <c r="J62" s="9">
        <v>1.7064E-9</v>
      </c>
      <c r="K62" s="8">
        <v>0</v>
      </c>
      <c r="L62" s="8">
        <v>0</v>
      </c>
      <c r="M62" s="8">
        <v>-30.02</v>
      </c>
      <c r="N62" s="9">
        <v>-1.0415000000000001E-14</v>
      </c>
      <c r="O62" s="9">
        <v>-2.0831000000000001E-14</v>
      </c>
      <c r="P62" s="8">
        <v>-30.02</v>
      </c>
      <c r="Q62" s="9">
        <v>-1.0415000000000001E-14</v>
      </c>
      <c r="R62" s="9">
        <v>-2.0831000000000001E-14</v>
      </c>
      <c r="S62" s="8">
        <v>1</v>
      </c>
      <c r="T62" s="8">
        <v>60</v>
      </c>
      <c r="U62" s="8">
        <v>0</v>
      </c>
      <c r="V62" s="8">
        <v>0.25</v>
      </c>
      <c r="W62" s="8">
        <v>0.3</v>
      </c>
    </row>
    <row r="63" spans="1:23" x14ac:dyDescent="0.15">
      <c r="A63" s="8">
        <v>1</v>
      </c>
      <c r="B63" s="8">
        <v>-29.395</v>
      </c>
      <c r="C63" s="9">
        <v>-1.0198E-14</v>
      </c>
      <c r="D63" s="9">
        <v>-2.0397000000000001E-14</v>
      </c>
      <c r="E63" s="8">
        <v>0</v>
      </c>
      <c r="F63" s="8">
        <v>1</v>
      </c>
      <c r="G63" s="9">
        <v>-3.8762000000000003E-9</v>
      </c>
      <c r="H63" s="8">
        <v>0</v>
      </c>
      <c r="I63" s="8">
        <v>0</v>
      </c>
      <c r="J63" s="9">
        <v>1.7410999999999999E-9</v>
      </c>
      <c r="K63" s="8">
        <v>0</v>
      </c>
      <c r="L63" s="8">
        <v>0</v>
      </c>
      <c r="M63" s="8">
        <v>-30.151</v>
      </c>
      <c r="N63" s="9">
        <v>-1.0461E-14</v>
      </c>
      <c r="O63" s="9">
        <v>-2.0921000000000001E-14</v>
      </c>
      <c r="P63" s="8">
        <v>-30.151</v>
      </c>
      <c r="Q63" s="9">
        <v>-1.0461E-14</v>
      </c>
      <c r="R63" s="9">
        <v>-2.0921000000000001E-14</v>
      </c>
      <c r="S63" s="8">
        <v>1</v>
      </c>
      <c r="T63" s="8">
        <v>61</v>
      </c>
      <c r="U63" s="8">
        <v>0</v>
      </c>
      <c r="V63" s="8">
        <v>0.25</v>
      </c>
      <c r="W63" s="8">
        <v>0.3</v>
      </c>
    </row>
    <row r="64" spans="1:23" x14ac:dyDescent="0.15">
      <c r="A64" s="8">
        <v>1</v>
      </c>
      <c r="B64" s="8">
        <v>-29.558</v>
      </c>
      <c r="C64" s="9">
        <v>-1.0255E-14</v>
      </c>
      <c r="D64" s="9">
        <v>-2.0509999999999999E-14</v>
      </c>
      <c r="E64" s="8">
        <v>0</v>
      </c>
      <c r="F64" s="8">
        <v>1</v>
      </c>
      <c r="G64" s="9">
        <v>-3.6286000000000001E-9</v>
      </c>
      <c r="H64" s="8">
        <v>0</v>
      </c>
      <c r="I64" s="8">
        <v>0</v>
      </c>
      <c r="J64" s="9">
        <v>1.7736E-9</v>
      </c>
      <c r="K64" s="8">
        <v>0</v>
      </c>
      <c r="L64" s="8">
        <v>0</v>
      </c>
      <c r="M64" s="8">
        <v>-30.280999999999999</v>
      </c>
      <c r="N64" s="9">
        <v>-1.0506E-14</v>
      </c>
      <c r="O64" s="9">
        <v>-2.1012E-14</v>
      </c>
      <c r="P64" s="8">
        <v>-30.280999999999999</v>
      </c>
      <c r="Q64" s="9">
        <v>-1.0506E-14</v>
      </c>
      <c r="R64" s="9">
        <v>-2.1012E-14</v>
      </c>
      <c r="S64" s="8">
        <v>1</v>
      </c>
      <c r="T64" s="8">
        <v>62</v>
      </c>
      <c r="U64" s="8">
        <v>0</v>
      </c>
      <c r="V64" s="8">
        <v>0.25</v>
      </c>
      <c r="W64" s="8">
        <v>0.3</v>
      </c>
    </row>
    <row r="65" spans="1:23" x14ac:dyDescent="0.15">
      <c r="A65" s="8">
        <v>1</v>
      </c>
      <c r="B65" s="8">
        <v>-29.721</v>
      </c>
      <c r="C65" s="9">
        <v>-1.0311000000000001E-14</v>
      </c>
      <c r="D65" s="9">
        <v>-2.0623000000000001E-14</v>
      </c>
      <c r="E65" s="8">
        <v>0</v>
      </c>
      <c r="F65" s="8">
        <v>1</v>
      </c>
      <c r="G65" s="9">
        <v>-3.3871E-9</v>
      </c>
      <c r="H65" s="8">
        <v>0</v>
      </c>
      <c r="I65" s="8">
        <v>0</v>
      </c>
      <c r="J65" s="9">
        <v>1.8042E-9</v>
      </c>
      <c r="K65" s="8">
        <v>0</v>
      </c>
      <c r="L65" s="8">
        <v>0</v>
      </c>
      <c r="M65" s="8">
        <v>-30.41</v>
      </c>
      <c r="N65" s="9">
        <v>-1.0551E-14</v>
      </c>
      <c r="O65" s="9">
        <v>-2.1101E-14</v>
      </c>
      <c r="P65" s="8">
        <v>-30.41</v>
      </c>
      <c r="Q65" s="9">
        <v>-1.0551E-14</v>
      </c>
      <c r="R65" s="9">
        <v>-2.1101E-14</v>
      </c>
      <c r="S65" s="8">
        <v>1</v>
      </c>
      <c r="T65" s="8">
        <v>63</v>
      </c>
      <c r="U65" s="8">
        <v>0</v>
      </c>
      <c r="V65" s="8">
        <v>0.25</v>
      </c>
      <c r="W65" s="8">
        <v>0.3</v>
      </c>
    </row>
    <row r="66" spans="1:23" x14ac:dyDescent="0.15">
      <c r="A66" s="8">
        <v>1</v>
      </c>
      <c r="B66" s="8">
        <v>-29.882000000000001</v>
      </c>
      <c r="C66" s="9">
        <v>-1.0367E-14</v>
      </c>
      <c r="D66" s="9">
        <v>-2.0734999999999999E-14</v>
      </c>
      <c r="E66" s="8">
        <v>0</v>
      </c>
      <c r="F66" s="8">
        <v>1</v>
      </c>
      <c r="G66" s="9">
        <v>-3.1508999999999999E-9</v>
      </c>
      <c r="H66" s="8">
        <v>0</v>
      </c>
      <c r="I66" s="8">
        <v>0</v>
      </c>
      <c r="J66" s="9">
        <v>1.8328999999999999E-9</v>
      </c>
      <c r="K66" s="8">
        <v>0</v>
      </c>
      <c r="L66" s="8">
        <v>0</v>
      </c>
      <c r="M66" s="8">
        <v>-30.538</v>
      </c>
      <c r="N66" s="9">
        <v>-1.0595E-14</v>
      </c>
      <c r="O66" s="9">
        <v>-2.1189999999999999E-14</v>
      </c>
      <c r="P66" s="8">
        <v>-30.538</v>
      </c>
      <c r="Q66" s="9">
        <v>-1.0595E-14</v>
      </c>
      <c r="R66" s="9">
        <v>-2.1189999999999999E-14</v>
      </c>
      <c r="S66" s="8">
        <v>1</v>
      </c>
      <c r="T66" s="8">
        <v>64</v>
      </c>
      <c r="U66" s="8">
        <v>0</v>
      </c>
      <c r="V66" s="8">
        <v>0.25</v>
      </c>
      <c r="W66" s="8">
        <v>0.3</v>
      </c>
    </row>
    <row r="67" spans="1:23" x14ac:dyDescent="0.15">
      <c r="A67" s="8">
        <v>1</v>
      </c>
      <c r="B67" s="8">
        <v>-30.042000000000002</v>
      </c>
      <c r="C67" s="9">
        <v>-1.0423000000000001E-14</v>
      </c>
      <c r="D67" s="9">
        <v>-2.0846000000000001E-14</v>
      </c>
      <c r="E67" s="8">
        <v>0</v>
      </c>
      <c r="F67" s="8">
        <v>1</v>
      </c>
      <c r="G67" s="9">
        <v>-2.9193E-9</v>
      </c>
      <c r="H67" s="8">
        <v>0</v>
      </c>
      <c r="I67" s="8">
        <v>0</v>
      </c>
      <c r="J67" s="9">
        <v>1.8597999999999999E-9</v>
      </c>
      <c r="K67" s="8">
        <v>0</v>
      </c>
      <c r="L67" s="8">
        <v>0</v>
      </c>
      <c r="M67" s="8">
        <v>-30.664000000000001</v>
      </c>
      <c r="N67" s="9">
        <v>-1.0639E-14</v>
      </c>
      <c r="O67" s="9">
        <v>-2.1277999999999999E-14</v>
      </c>
      <c r="P67" s="8">
        <v>-30.664000000000001</v>
      </c>
      <c r="Q67" s="9">
        <v>-1.0639E-14</v>
      </c>
      <c r="R67" s="9">
        <v>-2.1277999999999999E-14</v>
      </c>
      <c r="S67" s="8">
        <v>1</v>
      </c>
      <c r="T67" s="8">
        <v>65</v>
      </c>
      <c r="U67" s="8">
        <v>0</v>
      </c>
      <c r="V67" s="8">
        <v>0.25</v>
      </c>
      <c r="W67" s="8">
        <v>0.3</v>
      </c>
    </row>
    <row r="68" spans="1:23" x14ac:dyDescent="0.15">
      <c r="A68" s="8">
        <v>1</v>
      </c>
      <c r="B68" s="8">
        <v>-30.201000000000001</v>
      </c>
      <c r="C68" s="9">
        <v>-1.8626000000000001E-8</v>
      </c>
      <c r="D68" s="9">
        <v>-1.8626000000000001E-8</v>
      </c>
      <c r="E68" s="8">
        <v>0</v>
      </c>
      <c r="F68" s="8">
        <v>1</v>
      </c>
      <c r="G68" s="9">
        <v>-2.6918000000000002E-9</v>
      </c>
      <c r="H68" s="8">
        <v>0</v>
      </c>
      <c r="I68" s="8">
        <v>0</v>
      </c>
      <c r="J68" s="9">
        <v>1.885E-9</v>
      </c>
      <c r="K68" s="8">
        <v>0</v>
      </c>
      <c r="L68" s="8">
        <v>0</v>
      </c>
      <c r="M68" s="8">
        <v>-30.79</v>
      </c>
      <c r="N68" s="9">
        <v>-1.0682E-14</v>
      </c>
      <c r="O68" s="9">
        <v>-2.1364999999999999E-14</v>
      </c>
      <c r="P68" s="8">
        <v>-30.79</v>
      </c>
      <c r="Q68" s="9">
        <v>-1.0682E-14</v>
      </c>
      <c r="R68" s="9">
        <v>-2.1364999999999999E-14</v>
      </c>
      <c r="S68" s="8">
        <v>1</v>
      </c>
      <c r="T68" s="8">
        <v>66</v>
      </c>
      <c r="U68" s="8">
        <v>0</v>
      </c>
      <c r="V68" s="8">
        <v>0.25</v>
      </c>
      <c r="W68" s="8">
        <v>0.3</v>
      </c>
    </row>
    <row r="69" spans="1:23" x14ac:dyDescent="0.15">
      <c r="A69" s="8">
        <v>1</v>
      </c>
      <c r="B69" s="8">
        <v>-30.359000000000002</v>
      </c>
      <c r="C69" s="9">
        <v>-1.0533E-14</v>
      </c>
      <c r="D69" s="9">
        <v>-2.1066E-14</v>
      </c>
      <c r="E69" s="8">
        <v>0</v>
      </c>
      <c r="F69" s="8">
        <v>1</v>
      </c>
      <c r="G69" s="9">
        <v>-2.4678000000000001E-9</v>
      </c>
      <c r="H69" s="8">
        <v>0</v>
      </c>
      <c r="I69" s="8">
        <v>0</v>
      </c>
      <c r="J69" s="9">
        <v>1.9085000000000002E-9</v>
      </c>
      <c r="K69" s="8">
        <v>0</v>
      </c>
      <c r="L69" s="8">
        <v>0</v>
      </c>
      <c r="M69" s="8">
        <v>-30.914000000000001</v>
      </c>
      <c r="N69" s="9">
        <v>-1.0725E-14</v>
      </c>
      <c r="O69" s="9">
        <v>-2.1450999999999999E-14</v>
      </c>
      <c r="P69" s="8">
        <v>-30.914000000000001</v>
      </c>
      <c r="Q69" s="9">
        <v>-1.0725E-14</v>
      </c>
      <c r="R69" s="9">
        <v>-2.1450999999999999E-14</v>
      </c>
      <c r="S69" s="8">
        <v>1</v>
      </c>
      <c r="T69" s="8">
        <v>67</v>
      </c>
      <c r="U69" s="8">
        <v>0</v>
      </c>
      <c r="V69" s="8">
        <v>0.25</v>
      </c>
      <c r="W69" s="8">
        <v>0.3</v>
      </c>
    </row>
    <row r="70" spans="1:23" x14ac:dyDescent="0.15">
      <c r="A70" s="8">
        <v>1</v>
      </c>
      <c r="B70" s="8">
        <v>-30.515999999999998</v>
      </c>
      <c r="C70" s="9">
        <v>-1.0586999999999999E-14</v>
      </c>
      <c r="D70" s="9">
        <v>-2.1174999999999999E-14</v>
      </c>
      <c r="E70" s="8">
        <v>0</v>
      </c>
      <c r="F70" s="8">
        <v>1</v>
      </c>
      <c r="G70" s="9">
        <v>-2.2466000000000001E-9</v>
      </c>
      <c r="H70" s="8">
        <v>0</v>
      </c>
      <c r="I70" s="8">
        <v>0</v>
      </c>
      <c r="J70" s="9">
        <v>1.9303999999999999E-9</v>
      </c>
      <c r="K70" s="8">
        <v>0</v>
      </c>
      <c r="L70" s="8">
        <v>0</v>
      </c>
      <c r="M70" s="8">
        <v>-31.036000000000001</v>
      </c>
      <c r="N70" s="9">
        <v>-1.0768E-14</v>
      </c>
      <c r="O70" s="9">
        <v>-2.1536E-14</v>
      </c>
      <c r="P70" s="8">
        <v>-31.036000000000001</v>
      </c>
      <c r="Q70" s="9">
        <v>-1.0768E-14</v>
      </c>
      <c r="R70" s="9">
        <v>-2.1536E-14</v>
      </c>
      <c r="S70" s="8">
        <v>1</v>
      </c>
      <c r="T70" s="8">
        <v>68</v>
      </c>
      <c r="U70" s="8">
        <v>0</v>
      </c>
      <c r="V70" s="8">
        <v>0.25</v>
      </c>
      <c r="W70" s="8">
        <v>0.3</v>
      </c>
    </row>
    <row r="71" spans="1:23" x14ac:dyDescent="0.15">
      <c r="A71" s="8">
        <v>1</v>
      </c>
      <c r="B71" s="8">
        <v>-30.670999999999999</v>
      </c>
      <c r="C71" s="9">
        <v>-1.0641000000000001E-14</v>
      </c>
      <c r="D71" s="9">
        <v>-2.1282000000000001E-14</v>
      </c>
      <c r="E71" s="8">
        <v>0</v>
      </c>
      <c r="F71" s="8">
        <v>1</v>
      </c>
      <c r="G71" s="9">
        <v>-2.0276999999999999E-9</v>
      </c>
      <c r="H71" s="8">
        <v>0</v>
      </c>
      <c r="I71" s="8">
        <v>0</v>
      </c>
      <c r="J71" s="9">
        <v>1.9507999999999999E-9</v>
      </c>
      <c r="K71" s="8">
        <v>0</v>
      </c>
      <c r="L71" s="8">
        <v>0</v>
      </c>
      <c r="M71" s="8">
        <v>-31.157</v>
      </c>
      <c r="N71" s="9">
        <v>-1.081E-14</v>
      </c>
      <c r="O71" s="9">
        <v>-2.162E-14</v>
      </c>
      <c r="P71" s="8">
        <v>-31.157</v>
      </c>
      <c r="Q71" s="9">
        <v>-1.081E-14</v>
      </c>
      <c r="R71" s="9">
        <v>-2.162E-14</v>
      </c>
      <c r="S71" s="8">
        <v>1</v>
      </c>
      <c r="T71" s="8">
        <v>69</v>
      </c>
      <c r="U71" s="8">
        <v>0</v>
      </c>
      <c r="V71" s="8">
        <v>0.25</v>
      </c>
      <c r="W71" s="8">
        <v>0.3</v>
      </c>
    </row>
    <row r="72" spans="1:23" x14ac:dyDescent="0.15">
      <c r="A72" s="8">
        <v>1</v>
      </c>
      <c r="B72" s="8">
        <v>-30.824999999999999</v>
      </c>
      <c r="C72" s="9">
        <v>-1.0695E-14</v>
      </c>
      <c r="D72" s="9">
        <v>-2.1389000000000001E-14</v>
      </c>
      <c r="E72" s="8">
        <v>0</v>
      </c>
      <c r="F72" s="8">
        <v>1</v>
      </c>
      <c r="G72" s="9">
        <v>-1.8104999999999999E-9</v>
      </c>
      <c r="H72" s="8">
        <v>0</v>
      </c>
      <c r="I72" s="8">
        <v>0</v>
      </c>
      <c r="J72" s="9">
        <v>1.9694999999999999E-9</v>
      </c>
      <c r="K72" s="8">
        <v>0</v>
      </c>
      <c r="L72" s="8">
        <v>0</v>
      </c>
      <c r="M72" s="8">
        <v>-31.277000000000001</v>
      </c>
      <c r="N72" s="9">
        <v>-1.0851000000000001E-14</v>
      </c>
      <c r="O72" s="9">
        <v>-2.1703000000000001E-14</v>
      </c>
      <c r="P72" s="8">
        <v>-31.277000000000001</v>
      </c>
      <c r="Q72" s="9">
        <v>-1.0851000000000001E-14</v>
      </c>
      <c r="R72" s="9">
        <v>-2.1703000000000001E-14</v>
      </c>
      <c r="S72" s="8">
        <v>1</v>
      </c>
      <c r="T72" s="8">
        <v>70</v>
      </c>
      <c r="U72" s="8">
        <v>0</v>
      </c>
      <c r="V72" s="8">
        <v>0.25</v>
      </c>
      <c r="W72" s="8">
        <v>0.3</v>
      </c>
    </row>
    <row r="73" spans="1:23" x14ac:dyDescent="0.15">
      <c r="A73" s="8">
        <v>1</v>
      </c>
      <c r="B73" s="8">
        <v>-30.978999999999999</v>
      </c>
      <c r="C73" s="9">
        <v>-1.0748E-14</v>
      </c>
      <c r="D73" s="9">
        <v>-2.1496000000000001E-14</v>
      </c>
      <c r="E73" s="8">
        <v>0</v>
      </c>
      <c r="F73" s="8">
        <v>1</v>
      </c>
      <c r="G73" s="9">
        <v>-1.5945E-9</v>
      </c>
      <c r="H73" s="8">
        <v>0</v>
      </c>
      <c r="I73" s="8">
        <v>0</v>
      </c>
      <c r="J73" s="9">
        <v>1.9866000000000002E-9</v>
      </c>
      <c r="K73" s="8">
        <v>0</v>
      </c>
      <c r="L73" s="8">
        <v>0</v>
      </c>
      <c r="M73" s="8">
        <v>-31.395</v>
      </c>
      <c r="N73" s="9">
        <v>-1.0891999999999999E-14</v>
      </c>
      <c r="O73" s="9">
        <v>-2.1784999999999999E-14</v>
      </c>
      <c r="P73" s="8">
        <v>-31.395</v>
      </c>
      <c r="Q73" s="9">
        <v>-1.0891999999999999E-14</v>
      </c>
      <c r="R73" s="9">
        <v>-2.1784999999999999E-14</v>
      </c>
      <c r="S73" s="8">
        <v>1</v>
      </c>
      <c r="T73" s="8">
        <v>71</v>
      </c>
      <c r="U73" s="8">
        <v>0</v>
      </c>
      <c r="V73" s="8">
        <v>0.25</v>
      </c>
      <c r="W73" s="8">
        <v>0.3</v>
      </c>
    </row>
    <row r="74" spans="1:23" x14ac:dyDescent="0.15">
      <c r="A74" s="8">
        <v>1</v>
      </c>
      <c r="B74" s="8">
        <v>-31.13</v>
      </c>
      <c r="C74" s="9">
        <v>-1.0801E-14</v>
      </c>
      <c r="D74" s="9">
        <v>-2.1601000000000001E-14</v>
      </c>
      <c r="E74" s="8">
        <v>0</v>
      </c>
      <c r="F74" s="8">
        <v>1</v>
      </c>
      <c r="G74" s="9">
        <v>-1.3790999999999999E-9</v>
      </c>
      <c r="H74" s="8">
        <v>0</v>
      </c>
      <c r="I74" s="8">
        <v>0</v>
      </c>
      <c r="J74" s="9">
        <v>2.0019999999999999E-9</v>
      </c>
      <c r="K74" s="8">
        <v>0</v>
      </c>
      <c r="L74" s="8">
        <v>0</v>
      </c>
      <c r="M74" s="8">
        <v>-31.512</v>
      </c>
      <c r="N74" s="9">
        <v>-1.0933E-14</v>
      </c>
      <c r="O74" s="9">
        <v>-2.1866E-14</v>
      </c>
      <c r="P74" s="8">
        <v>-31.512</v>
      </c>
      <c r="Q74" s="9">
        <v>-1.0933E-14</v>
      </c>
      <c r="R74" s="9">
        <v>-2.1866E-14</v>
      </c>
      <c r="S74" s="8">
        <v>1</v>
      </c>
      <c r="T74" s="8">
        <v>72</v>
      </c>
      <c r="U74" s="8">
        <v>0</v>
      </c>
      <c r="V74" s="8">
        <v>0.25</v>
      </c>
      <c r="W74" s="8">
        <v>0.3</v>
      </c>
    </row>
    <row r="75" spans="1:23" x14ac:dyDescent="0.15">
      <c r="A75" s="8">
        <v>1</v>
      </c>
      <c r="B75" s="8">
        <v>-31.280999999999999</v>
      </c>
      <c r="C75" s="9">
        <v>-1.0853E-14</v>
      </c>
      <c r="D75" s="9">
        <v>-2.1706E-14</v>
      </c>
      <c r="E75" s="8">
        <v>0</v>
      </c>
      <c r="F75" s="8">
        <v>1</v>
      </c>
      <c r="G75" s="9">
        <v>-1.1637E-9</v>
      </c>
      <c r="H75" s="8">
        <v>0</v>
      </c>
      <c r="I75" s="8">
        <v>0</v>
      </c>
      <c r="J75" s="9">
        <v>2.0157E-9</v>
      </c>
      <c r="K75" s="8">
        <v>0</v>
      </c>
      <c r="L75" s="8">
        <v>0</v>
      </c>
      <c r="M75" s="8">
        <v>-31.626000000000001</v>
      </c>
      <c r="N75" s="9">
        <v>-1.0973000000000001E-14</v>
      </c>
      <c r="O75" s="9">
        <v>-2.1945000000000001E-14</v>
      </c>
      <c r="P75" s="8">
        <v>-31.626000000000001</v>
      </c>
      <c r="Q75" s="9">
        <v>-1.0973000000000001E-14</v>
      </c>
      <c r="R75" s="9">
        <v>-2.1945000000000001E-14</v>
      </c>
      <c r="S75" s="8">
        <v>1</v>
      </c>
      <c r="T75" s="8">
        <v>73</v>
      </c>
      <c r="U75" s="8">
        <v>0</v>
      </c>
      <c r="V75" s="8">
        <v>0.25</v>
      </c>
      <c r="W75" s="8">
        <v>0.3</v>
      </c>
    </row>
    <row r="76" spans="1:23" x14ac:dyDescent="0.15">
      <c r="A76" s="8">
        <v>1</v>
      </c>
      <c r="B76" s="8">
        <v>-31.431000000000001</v>
      </c>
      <c r="C76" s="9">
        <v>-1.0905E-14</v>
      </c>
      <c r="D76" s="9">
        <v>-2.1809000000000001E-14</v>
      </c>
      <c r="E76" s="8">
        <v>0</v>
      </c>
      <c r="F76" s="8">
        <v>1</v>
      </c>
      <c r="G76" s="9">
        <v>-9.4772999999999999E-10</v>
      </c>
      <c r="H76" s="8">
        <v>0</v>
      </c>
      <c r="I76" s="8">
        <v>0</v>
      </c>
      <c r="J76" s="9">
        <v>2.0275999999999999E-9</v>
      </c>
      <c r="K76" s="8">
        <v>0</v>
      </c>
      <c r="L76" s="8">
        <v>0</v>
      </c>
      <c r="M76" s="8">
        <v>-31.739000000000001</v>
      </c>
      <c r="N76" s="9">
        <v>-1.1012E-14</v>
      </c>
      <c r="O76" s="9">
        <v>-2.2024E-14</v>
      </c>
      <c r="P76" s="8">
        <v>-31.739000000000001</v>
      </c>
      <c r="Q76" s="9">
        <v>-1.1012E-14</v>
      </c>
      <c r="R76" s="9">
        <v>-2.2024E-14</v>
      </c>
      <c r="S76" s="8">
        <v>1</v>
      </c>
      <c r="T76" s="8">
        <v>74</v>
      </c>
      <c r="U76" s="8">
        <v>0</v>
      </c>
      <c r="V76" s="8">
        <v>0.25</v>
      </c>
      <c r="W76" s="8">
        <v>0.3</v>
      </c>
    </row>
    <row r="77" spans="1:23" x14ac:dyDescent="0.15">
      <c r="A77" s="8">
        <v>1</v>
      </c>
      <c r="B77" s="8">
        <v>-31.579000000000001</v>
      </c>
      <c r="C77" s="9">
        <v>-1.0956000000000001E-14</v>
      </c>
      <c r="D77" s="9">
        <v>-2.1912000000000001E-14</v>
      </c>
      <c r="E77" s="8">
        <v>0</v>
      </c>
      <c r="F77" s="8">
        <v>1</v>
      </c>
      <c r="G77" s="9">
        <v>-7.3052999999999996E-10</v>
      </c>
      <c r="H77" s="8">
        <v>0</v>
      </c>
      <c r="I77" s="8">
        <v>0</v>
      </c>
      <c r="J77" s="9">
        <v>2.0375E-9</v>
      </c>
      <c r="K77" s="8">
        <v>0</v>
      </c>
      <c r="L77" s="8">
        <v>0</v>
      </c>
      <c r="M77" s="8">
        <v>-31.85</v>
      </c>
      <c r="N77" s="9">
        <v>-1.1049999999999999E-14</v>
      </c>
      <c r="O77" s="9">
        <v>-2.2101000000000002E-14</v>
      </c>
      <c r="P77" s="8">
        <v>-31.85</v>
      </c>
      <c r="Q77" s="9">
        <v>-1.1049999999999999E-14</v>
      </c>
      <c r="R77" s="9">
        <v>-2.2101000000000002E-14</v>
      </c>
      <c r="S77" s="8">
        <v>1</v>
      </c>
      <c r="T77" s="8">
        <v>75</v>
      </c>
      <c r="U77" s="8">
        <v>0</v>
      </c>
      <c r="V77" s="8">
        <v>0.25</v>
      </c>
      <c r="W77" s="8">
        <v>0.3</v>
      </c>
    </row>
    <row r="78" spans="1:23" x14ac:dyDescent="0.15">
      <c r="A78" s="8">
        <v>1</v>
      </c>
      <c r="B78" s="8">
        <v>-31.725999999999999</v>
      </c>
      <c r="C78" s="9">
        <v>-1.1007000000000001E-14</v>
      </c>
      <c r="D78" s="9">
        <v>-2.2014000000000002E-14</v>
      </c>
      <c r="E78" s="8">
        <v>0</v>
      </c>
      <c r="F78" s="8">
        <v>1</v>
      </c>
      <c r="G78" s="9">
        <v>-5.1147999999999997E-10</v>
      </c>
      <c r="H78" s="8">
        <v>0</v>
      </c>
      <c r="I78" s="8">
        <v>0</v>
      </c>
      <c r="J78" s="9">
        <v>2.0453E-9</v>
      </c>
      <c r="K78" s="8">
        <v>0</v>
      </c>
      <c r="L78" s="8">
        <v>0</v>
      </c>
      <c r="M78" s="8">
        <v>-31.959</v>
      </c>
      <c r="N78" s="9">
        <v>-1.1088E-14</v>
      </c>
      <c r="O78" s="9">
        <v>-2.2176000000000001E-14</v>
      </c>
      <c r="P78" s="8">
        <v>-31.959</v>
      </c>
      <c r="Q78" s="9">
        <v>-1.1088E-14</v>
      </c>
      <c r="R78" s="9">
        <v>-2.2176000000000001E-14</v>
      </c>
      <c r="S78" s="8">
        <v>1</v>
      </c>
      <c r="T78" s="8">
        <v>76</v>
      </c>
      <c r="U78" s="8">
        <v>0</v>
      </c>
      <c r="V78" s="8">
        <v>0.25</v>
      </c>
      <c r="W78" s="8">
        <v>0.3</v>
      </c>
    </row>
    <row r="79" spans="1:23" x14ac:dyDescent="0.15">
      <c r="A79" s="8">
        <v>1</v>
      </c>
      <c r="B79" s="8">
        <v>-31.872</v>
      </c>
      <c r="C79" s="9">
        <v>-1.1057999999999999E-14</v>
      </c>
      <c r="D79" s="9">
        <v>-2.2115999999999999E-14</v>
      </c>
      <c r="E79" s="8">
        <v>0</v>
      </c>
      <c r="F79" s="8">
        <v>1</v>
      </c>
      <c r="G79" s="9">
        <v>-2.8990999999999998E-10</v>
      </c>
      <c r="H79" s="8">
        <v>0</v>
      </c>
      <c r="I79" s="8">
        <v>0</v>
      </c>
      <c r="J79" s="9">
        <v>2.0509E-9</v>
      </c>
      <c r="K79" s="8">
        <v>0</v>
      </c>
      <c r="L79" s="8">
        <v>0</v>
      </c>
      <c r="M79" s="8">
        <v>-32.066000000000003</v>
      </c>
      <c r="N79" s="9">
        <v>-1.1125E-14</v>
      </c>
      <c r="O79" s="9">
        <v>-2.225E-14</v>
      </c>
      <c r="P79" s="8">
        <v>-32.066000000000003</v>
      </c>
      <c r="Q79" s="9">
        <v>-1.1125E-14</v>
      </c>
      <c r="R79" s="9">
        <v>-2.225E-14</v>
      </c>
      <c r="S79" s="8">
        <v>1</v>
      </c>
      <c r="T79" s="8">
        <v>77</v>
      </c>
      <c r="U79" s="8">
        <v>0</v>
      </c>
      <c r="V79" s="8">
        <v>0.25</v>
      </c>
      <c r="W79" s="8">
        <v>0.3</v>
      </c>
    </row>
    <row r="80" spans="1:23" x14ac:dyDescent="0.15">
      <c r="A80" s="8">
        <v>1</v>
      </c>
      <c r="B80" s="8">
        <v>-32.017000000000003</v>
      </c>
      <c r="C80" s="9">
        <v>-1.1108E-14</v>
      </c>
      <c r="D80" s="9">
        <v>-2.2216E-14</v>
      </c>
      <c r="E80" s="8">
        <v>0</v>
      </c>
      <c r="F80" s="8">
        <v>1</v>
      </c>
      <c r="G80" s="9">
        <v>-6.5115E-11</v>
      </c>
      <c r="H80" s="8">
        <v>0</v>
      </c>
      <c r="I80" s="8">
        <v>0</v>
      </c>
      <c r="J80" s="9">
        <v>2.0538000000000001E-9</v>
      </c>
      <c r="K80" s="8">
        <v>0</v>
      </c>
      <c r="L80" s="8">
        <v>0</v>
      </c>
      <c r="M80" s="8">
        <v>-32.17</v>
      </c>
      <c r="N80" s="9">
        <v>-1.1161E-14</v>
      </c>
      <c r="O80" s="9">
        <v>-2.2322999999999999E-14</v>
      </c>
      <c r="P80" s="8">
        <v>-32.17</v>
      </c>
      <c r="Q80" s="9">
        <v>-1.1161E-14</v>
      </c>
      <c r="R80" s="9">
        <v>-2.2322999999999999E-14</v>
      </c>
      <c r="S80" s="8">
        <v>1</v>
      </c>
      <c r="T80" s="8">
        <v>78</v>
      </c>
      <c r="U80" s="8">
        <v>0</v>
      </c>
      <c r="V80" s="8">
        <v>0.25</v>
      </c>
      <c r="W80" s="8">
        <v>0.3</v>
      </c>
    </row>
    <row r="81" spans="1:23" x14ac:dyDescent="0.15">
      <c r="A81" s="8">
        <v>1</v>
      </c>
      <c r="B81" s="8">
        <v>-32.159999999999997</v>
      </c>
      <c r="C81" s="9">
        <v>-1.1158E-14</v>
      </c>
      <c r="D81" s="9">
        <v>-2.2316000000000001E-14</v>
      </c>
      <c r="E81" s="8">
        <v>0</v>
      </c>
      <c r="F81" s="8">
        <v>1</v>
      </c>
      <c r="G81" s="9">
        <v>1.6365E-10</v>
      </c>
      <c r="H81" s="8">
        <v>0</v>
      </c>
      <c r="I81" s="8">
        <v>0</v>
      </c>
      <c r="J81" s="9">
        <v>2.0540000000000001E-9</v>
      </c>
      <c r="K81" s="8">
        <v>0</v>
      </c>
      <c r="L81" s="8">
        <v>0</v>
      </c>
      <c r="M81" s="8">
        <v>-32.271999999999998</v>
      </c>
      <c r="N81" s="9">
        <v>-1.1197E-14</v>
      </c>
      <c r="O81" s="9">
        <v>-2.2392999999999999E-14</v>
      </c>
      <c r="P81" s="8">
        <v>-32.271999999999998</v>
      </c>
      <c r="Q81" s="9">
        <v>-1.1197E-14</v>
      </c>
      <c r="R81" s="9">
        <v>-2.2392999999999999E-14</v>
      </c>
      <c r="S81" s="8">
        <v>1</v>
      </c>
      <c r="T81" s="8">
        <v>79</v>
      </c>
      <c r="U81" s="8">
        <v>0</v>
      </c>
      <c r="V81" s="8">
        <v>0.25</v>
      </c>
      <c r="W81" s="8">
        <v>0.3</v>
      </c>
    </row>
    <row r="82" spans="1:23" x14ac:dyDescent="0.15">
      <c r="A82" s="8">
        <v>1</v>
      </c>
      <c r="B82" s="8">
        <v>-32.302999999999997</v>
      </c>
      <c r="C82" s="9">
        <v>-1.6758E-14</v>
      </c>
      <c r="D82" s="9">
        <v>3.7253000000000003E-8</v>
      </c>
      <c r="E82" s="8">
        <v>0</v>
      </c>
      <c r="F82" s="8">
        <v>1</v>
      </c>
      <c r="G82" s="9">
        <v>3.9719999999999998E-10</v>
      </c>
      <c r="H82" s="8">
        <v>0</v>
      </c>
      <c r="I82" s="8">
        <v>0</v>
      </c>
      <c r="J82" s="9">
        <v>2.0509E-9</v>
      </c>
      <c r="K82" s="8">
        <v>0</v>
      </c>
      <c r="L82" s="8">
        <v>0</v>
      </c>
      <c r="M82" s="8">
        <v>-32.371000000000002</v>
      </c>
      <c r="N82" s="9">
        <v>-1.1231E-14</v>
      </c>
      <c r="O82" s="9">
        <v>-2.2461999999999999E-14</v>
      </c>
      <c r="P82" s="8">
        <v>-32.371000000000002</v>
      </c>
      <c r="Q82" s="9">
        <v>-1.1231E-14</v>
      </c>
      <c r="R82" s="9">
        <v>-2.2461999999999999E-14</v>
      </c>
      <c r="S82" s="8">
        <v>1</v>
      </c>
      <c r="T82" s="8">
        <v>80</v>
      </c>
      <c r="U82" s="8">
        <v>0</v>
      </c>
      <c r="V82" s="8">
        <v>0.25</v>
      </c>
      <c r="W82" s="8">
        <v>0.3</v>
      </c>
    </row>
    <row r="83" spans="1:23" x14ac:dyDescent="0.15">
      <c r="A83" s="8">
        <v>1</v>
      </c>
      <c r="B83" s="8">
        <v>-32.444000000000003</v>
      </c>
      <c r="C83" s="9">
        <v>-1.1256E-14</v>
      </c>
      <c r="D83" s="9">
        <v>-2.2512E-14</v>
      </c>
      <c r="E83" s="8">
        <v>0</v>
      </c>
      <c r="F83" s="8">
        <v>1</v>
      </c>
      <c r="G83" s="9">
        <v>6.3639999999999999E-10</v>
      </c>
      <c r="H83" s="8">
        <v>0</v>
      </c>
      <c r="I83" s="8">
        <v>0</v>
      </c>
      <c r="J83" s="9">
        <v>2.0441E-9</v>
      </c>
      <c r="K83" s="8">
        <v>0</v>
      </c>
      <c r="L83" s="8">
        <v>0</v>
      </c>
      <c r="M83" s="8">
        <v>-32.468000000000004</v>
      </c>
      <c r="N83" s="9">
        <v>-1.1265E-14</v>
      </c>
      <c r="O83" s="9">
        <v>-2.2529E-14</v>
      </c>
      <c r="P83" s="8">
        <v>-32.468000000000004</v>
      </c>
      <c r="Q83" s="9">
        <v>-1.1265E-14</v>
      </c>
      <c r="R83" s="9">
        <v>-2.2529E-14</v>
      </c>
      <c r="S83" s="8">
        <v>1</v>
      </c>
      <c r="T83" s="8">
        <v>81</v>
      </c>
      <c r="U83" s="8">
        <v>0</v>
      </c>
      <c r="V83" s="8">
        <v>0.25</v>
      </c>
      <c r="W83" s="8">
        <v>0.3</v>
      </c>
    </row>
    <row r="84" spans="1:23" x14ac:dyDescent="0.15">
      <c r="A84" s="8">
        <v>1</v>
      </c>
      <c r="B84" s="8">
        <v>-32.584000000000003</v>
      </c>
      <c r="C84" s="9">
        <v>-1.1305E-14</v>
      </c>
      <c r="D84" s="9">
        <v>-2.2610000000000001E-14</v>
      </c>
      <c r="E84" s="8">
        <v>0</v>
      </c>
      <c r="F84" s="8">
        <v>1</v>
      </c>
      <c r="G84" s="9">
        <v>8.8218000000000005E-10</v>
      </c>
      <c r="H84" s="8">
        <v>0</v>
      </c>
      <c r="I84" s="8">
        <v>0</v>
      </c>
      <c r="J84" s="9">
        <v>2.0332E-9</v>
      </c>
      <c r="K84" s="8">
        <v>0</v>
      </c>
      <c r="L84" s="8">
        <v>0</v>
      </c>
      <c r="M84" s="8">
        <v>-32.561</v>
      </c>
      <c r="N84" s="9">
        <v>-1.1297E-14</v>
      </c>
      <c r="O84" s="9">
        <v>-2.2594000000000001E-14</v>
      </c>
      <c r="P84" s="8">
        <v>-32.561</v>
      </c>
      <c r="Q84" s="9">
        <v>-1.1297E-14</v>
      </c>
      <c r="R84" s="9">
        <v>-2.2594000000000001E-14</v>
      </c>
      <c r="S84" s="8">
        <v>1</v>
      </c>
      <c r="T84" s="8">
        <v>82</v>
      </c>
      <c r="U84" s="8">
        <v>0</v>
      </c>
      <c r="V84" s="8">
        <v>0.25</v>
      </c>
      <c r="W84" s="8">
        <v>0.3</v>
      </c>
    </row>
    <row r="85" spans="1:23" x14ac:dyDescent="0.15">
      <c r="A85" s="8">
        <v>1</v>
      </c>
      <c r="B85" s="8">
        <v>-32.722999999999999</v>
      </c>
      <c r="C85" s="9">
        <v>3.7253000000000003E-8</v>
      </c>
      <c r="D85" s="9">
        <v>-3.7253000000000003E-8</v>
      </c>
      <c r="E85" s="8">
        <v>0</v>
      </c>
      <c r="F85" s="8">
        <v>1</v>
      </c>
      <c r="G85" s="9">
        <v>1.1355000000000001E-9</v>
      </c>
      <c r="H85" s="8">
        <v>0</v>
      </c>
      <c r="I85" s="8">
        <v>0</v>
      </c>
      <c r="J85" s="9">
        <v>2.0175000000000001E-9</v>
      </c>
      <c r="K85" s="8">
        <v>0</v>
      </c>
      <c r="L85" s="8">
        <v>0</v>
      </c>
      <c r="M85" s="8">
        <v>-32.651000000000003</v>
      </c>
      <c r="N85" s="9">
        <v>-1.1327999999999999E-14</v>
      </c>
      <c r="O85" s="9">
        <v>-2.2655999999999999E-14</v>
      </c>
      <c r="P85" s="8">
        <v>-32.651000000000003</v>
      </c>
      <c r="Q85" s="9">
        <v>-1.1327999999999999E-14</v>
      </c>
      <c r="R85" s="9">
        <v>-2.2655999999999999E-14</v>
      </c>
      <c r="S85" s="8">
        <v>1</v>
      </c>
      <c r="T85" s="8">
        <v>83</v>
      </c>
      <c r="U85" s="8">
        <v>0</v>
      </c>
      <c r="V85" s="8">
        <v>0.25</v>
      </c>
      <c r="W85" s="8">
        <v>0.3</v>
      </c>
    </row>
    <row r="86" spans="1:23" x14ac:dyDescent="0.15">
      <c r="A86" s="8">
        <v>1</v>
      </c>
      <c r="B86" s="8">
        <v>-32.860999999999997</v>
      </c>
      <c r="C86" s="9">
        <v>-1.1401E-14</v>
      </c>
      <c r="D86" s="9">
        <v>-2.2802000000000001E-14</v>
      </c>
      <c r="E86" s="8">
        <v>0</v>
      </c>
      <c r="F86" s="8">
        <v>1</v>
      </c>
      <c r="G86" s="9">
        <v>1.3976E-9</v>
      </c>
      <c r="H86" s="8">
        <v>0</v>
      </c>
      <c r="I86" s="8">
        <v>0</v>
      </c>
      <c r="J86" s="9">
        <v>1.9961000000000002E-9</v>
      </c>
      <c r="K86" s="8">
        <v>0</v>
      </c>
      <c r="L86" s="8">
        <v>0</v>
      </c>
      <c r="M86" s="8">
        <v>-32.737000000000002</v>
      </c>
      <c r="N86" s="9">
        <v>-1.1358E-14</v>
      </c>
      <c r="O86" s="9">
        <v>-2.2716000000000001E-14</v>
      </c>
      <c r="P86" s="8">
        <v>-32.737000000000002</v>
      </c>
      <c r="Q86" s="9">
        <v>-1.1358E-14</v>
      </c>
      <c r="R86" s="9">
        <v>-2.2716000000000001E-14</v>
      </c>
      <c r="S86" s="8">
        <v>1</v>
      </c>
      <c r="T86" s="8">
        <v>84</v>
      </c>
      <c r="U86" s="8">
        <v>0</v>
      </c>
      <c r="V86" s="8">
        <v>0.25</v>
      </c>
      <c r="W86" s="8">
        <v>0.3</v>
      </c>
    </row>
    <row r="87" spans="1:23" x14ac:dyDescent="0.15">
      <c r="A87" s="8">
        <v>1</v>
      </c>
      <c r="B87" s="8">
        <v>-32.997999999999998</v>
      </c>
      <c r="C87" s="9">
        <v>-1.1448E-14</v>
      </c>
      <c r="D87" s="9">
        <v>-2.2897E-14</v>
      </c>
      <c r="E87" s="8">
        <v>0</v>
      </c>
      <c r="F87" s="8">
        <v>1</v>
      </c>
      <c r="G87" s="9">
        <v>1.6695999999999999E-9</v>
      </c>
      <c r="H87" s="8">
        <v>0</v>
      </c>
      <c r="I87" s="8">
        <v>0</v>
      </c>
      <c r="J87" s="9">
        <v>1.9681999999999999E-9</v>
      </c>
      <c r="K87" s="8">
        <v>0</v>
      </c>
      <c r="L87" s="8">
        <v>0</v>
      </c>
      <c r="M87" s="8">
        <v>-32.819000000000003</v>
      </c>
      <c r="N87" s="9">
        <v>-3.3591000000000002E-14</v>
      </c>
      <c r="O87" s="9">
        <v>1.4901000000000001E-7</v>
      </c>
      <c r="P87" s="8">
        <v>-32.819000000000003</v>
      </c>
      <c r="Q87" s="9">
        <v>-3.3591000000000002E-14</v>
      </c>
      <c r="R87" s="9">
        <v>1.4901000000000001E-7</v>
      </c>
      <c r="S87" s="8">
        <v>1</v>
      </c>
      <c r="T87" s="8">
        <v>85</v>
      </c>
      <c r="U87" s="8">
        <v>0</v>
      </c>
      <c r="V87" s="8">
        <v>0.25</v>
      </c>
      <c r="W87" s="8">
        <v>0.3</v>
      </c>
    </row>
    <row r="88" spans="1:23" x14ac:dyDescent="0.15">
      <c r="A88" s="8">
        <v>1</v>
      </c>
      <c r="B88" s="8">
        <v>-33.134</v>
      </c>
      <c r="C88" s="9">
        <v>-1.1496000000000001E-14</v>
      </c>
      <c r="D88" s="9">
        <v>-2.2991000000000001E-14</v>
      </c>
      <c r="E88" s="8">
        <v>0</v>
      </c>
      <c r="F88" s="8">
        <v>1</v>
      </c>
      <c r="G88" s="9">
        <v>1.9528000000000001E-9</v>
      </c>
      <c r="H88" s="8">
        <v>0</v>
      </c>
      <c r="I88" s="8">
        <v>0</v>
      </c>
      <c r="J88" s="9">
        <v>1.9326000000000001E-9</v>
      </c>
      <c r="K88" s="8">
        <v>0</v>
      </c>
      <c r="L88" s="8">
        <v>0</v>
      </c>
      <c r="M88" s="8">
        <v>-32.896999999999998</v>
      </c>
      <c r="N88" s="9">
        <v>-1.1414E-14</v>
      </c>
      <c r="O88" s="9">
        <v>-2.2827E-14</v>
      </c>
      <c r="P88" s="8">
        <v>-32.896999999999998</v>
      </c>
      <c r="Q88" s="9">
        <v>-1.1414E-14</v>
      </c>
      <c r="R88" s="9">
        <v>-2.2827E-14</v>
      </c>
      <c r="S88" s="8">
        <v>1</v>
      </c>
      <c r="T88" s="8">
        <v>86</v>
      </c>
      <c r="U88" s="8">
        <v>0</v>
      </c>
      <c r="V88" s="8">
        <v>0.25</v>
      </c>
      <c r="W88" s="8">
        <v>0.3</v>
      </c>
    </row>
    <row r="89" spans="1:23" x14ac:dyDescent="0.15">
      <c r="A89" s="8">
        <v>1</v>
      </c>
      <c r="B89" s="8">
        <v>-33.268999999999998</v>
      </c>
      <c r="C89" s="9">
        <v>-1.1542E-14</v>
      </c>
      <c r="D89" s="9">
        <v>-2.3085E-14</v>
      </c>
      <c r="E89" s="8">
        <v>0</v>
      </c>
      <c r="F89" s="8">
        <v>1</v>
      </c>
      <c r="G89" s="9">
        <v>2.2486999999999999E-9</v>
      </c>
      <c r="H89" s="8">
        <v>0</v>
      </c>
      <c r="I89" s="8">
        <v>0</v>
      </c>
      <c r="J89" s="9">
        <v>1.8878E-9</v>
      </c>
      <c r="K89" s="8">
        <v>0</v>
      </c>
      <c r="L89" s="8">
        <v>0</v>
      </c>
      <c r="M89" s="8">
        <v>-32.97</v>
      </c>
      <c r="N89" s="9">
        <v>-1.1439E-14</v>
      </c>
      <c r="O89" s="9">
        <v>-2.2878E-14</v>
      </c>
      <c r="P89" s="8">
        <v>-32.97</v>
      </c>
      <c r="Q89" s="9">
        <v>-1.1439E-14</v>
      </c>
      <c r="R89" s="9">
        <v>-2.2878E-14</v>
      </c>
      <c r="S89" s="8">
        <v>1</v>
      </c>
      <c r="T89" s="8">
        <v>87</v>
      </c>
      <c r="U89" s="8">
        <v>0</v>
      </c>
      <c r="V89" s="8">
        <v>0.25</v>
      </c>
      <c r="W89" s="8">
        <v>0.3</v>
      </c>
    </row>
    <row r="90" spans="1:23" x14ac:dyDescent="0.15">
      <c r="A90" s="8">
        <v>1</v>
      </c>
      <c r="B90" s="8">
        <v>-33.404000000000003</v>
      </c>
      <c r="C90" s="9">
        <v>-1.1589E-14</v>
      </c>
      <c r="D90" s="9">
        <v>-2.3177999999999999E-14</v>
      </c>
      <c r="E90" s="8">
        <v>0</v>
      </c>
      <c r="F90" s="8">
        <v>1</v>
      </c>
      <c r="G90" s="9">
        <v>2.5588999999999999E-9</v>
      </c>
      <c r="H90" s="8">
        <v>0</v>
      </c>
      <c r="I90" s="8">
        <v>0</v>
      </c>
      <c r="J90" s="9">
        <v>1.8321999999999999E-9</v>
      </c>
      <c r="K90" s="8">
        <v>0</v>
      </c>
      <c r="L90" s="8">
        <v>0</v>
      </c>
      <c r="M90" s="8">
        <v>-33.037999999999997</v>
      </c>
      <c r="N90" s="9">
        <v>-1.1462E-14</v>
      </c>
      <c r="O90" s="9">
        <v>-2.2925000000000001E-14</v>
      </c>
      <c r="P90" s="8">
        <v>-33.037999999999997</v>
      </c>
      <c r="Q90" s="9">
        <v>-1.1462E-14</v>
      </c>
      <c r="R90" s="9">
        <v>-2.2925000000000001E-14</v>
      </c>
      <c r="S90" s="8">
        <v>1</v>
      </c>
      <c r="T90" s="8">
        <v>88</v>
      </c>
      <c r="U90" s="8">
        <v>0</v>
      </c>
      <c r="V90" s="8">
        <v>0.25</v>
      </c>
      <c r="W90" s="8">
        <v>0.3</v>
      </c>
    </row>
    <row r="91" spans="1:23" x14ac:dyDescent="0.15">
      <c r="A91" s="8">
        <v>1</v>
      </c>
      <c r="B91" s="8">
        <v>-33.537999999999997</v>
      </c>
      <c r="C91" s="9">
        <v>-1.1636000000000001E-14</v>
      </c>
      <c r="D91" s="9">
        <v>-2.3272000000000001E-14</v>
      </c>
      <c r="E91" s="8">
        <v>0</v>
      </c>
      <c r="F91" s="8">
        <v>1</v>
      </c>
      <c r="G91" s="9">
        <v>2.8850999999999999E-9</v>
      </c>
      <c r="H91" s="8">
        <v>0</v>
      </c>
      <c r="I91" s="8">
        <v>0</v>
      </c>
      <c r="J91" s="9">
        <v>1.7636E-9</v>
      </c>
      <c r="K91" s="8">
        <v>0</v>
      </c>
      <c r="L91" s="8">
        <v>0</v>
      </c>
      <c r="M91" s="8">
        <v>-33.098999999999997</v>
      </c>
      <c r="N91" s="9">
        <v>-1.1484E-14</v>
      </c>
      <c r="O91" s="9">
        <v>-2.2966999999999999E-14</v>
      </c>
      <c r="P91" s="8">
        <v>-33.098999999999997</v>
      </c>
      <c r="Q91" s="9">
        <v>-1.1484E-14</v>
      </c>
      <c r="R91" s="9">
        <v>-2.2966999999999999E-14</v>
      </c>
      <c r="S91" s="8">
        <v>1</v>
      </c>
      <c r="T91" s="8">
        <v>89</v>
      </c>
      <c r="U91" s="8">
        <v>0</v>
      </c>
      <c r="V91" s="8">
        <v>0.25</v>
      </c>
      <c r="W91" s="8">
        <v>0.3</v>
      </c>
    </row>
    <row r="92" spans="1:23" x14ac:dyDescent="0.15">
      <c r="A92" s="8">
        <v>1</v>
      </c>
      <c r="B92" s="8">
        <v>-33.671999999999997</v>
      </c>
      <c r="C92" s="9">
        <v>-1.1682E-14</v>
      </c>
      <c r="D92" s="9">
        <v>-2.3365E-14</v>
      </c>
      <c r="E92" s="8">
        <v>0</v>
      </c>
      <c r="F92" s="8">
        <v>1</v>
      </c>
      <c r="G92" s="9">
        <v>3.2289999999999999E-9</v>
      </c>
      <c r="H92" s="8">
        <v>0</v>
      </c>
      <c r="I92" s="8">
        <v>0</v>
      </c>
      <c r="J92" s="9">
        <v>1.6793E-9</v>
      </c>
      <c r="K92" s="8">
        <v>0</v>
      </c>
      <c r="L92" s="8">
        <v>0</v>
      </c>
      <c r="M92" s="8">
        <v>-33.154000000000003</v>
      </c>
      <c r="N92" s="9">
        <v>-1.1502999999999999E-14</v>
      </c>
      <c r="O92" s="9">
        <v>-2.3005999999999999E-14</v>
      </c>
      <c r="P92" s="8">
        <v>-33.154000000000003</v>
      </c>
      <c r="Q92" s="9">
        <v>-1.1502999999999999E-14</v>
      </c>
      <c r="R92" s="9">
        <v>-2.3005999999999999E-14</v>
      </c>
      <c r="S92" s="8">
        <v>1</v>
      </c>
      <c r="T92" s="8">
        <v>90</v>
      </c>
      <c r="U92" s="8">
        <v>0</v>
      </c>
      <c r="V92" s="8">
        <v>0.25</v>
      </c>
      <c r="W92" s="8">
        <v>0.3</v>
      </c>
    </row>
    <row r="93" spans="1:23" x14ac:dyDescent="0.15">
      <c r="A93" s="8">
        <v>1</v>
      </c>
      <c r="B93" s="8">
        <v>-33.807000000000002</v>
      </c>
      <c r="C93" s="9">
        <v>-1.1728999999999999E-14</v>
      </c>
      <c r="D93" s="9">
        <v>-2.3457999999999999E-14</v>
      </c>
      <c r="E93" s="8">
        <v>0</v>
      </c>
      <c r="F93" s="8">
        <v>1</v>
      </c>
      <c r="G93" s="9">
        <v>3.5928999999999999E-9</v>
      </c>
      <c r="H93" s="8">
        <v>0</v>
      </c>
      <c r="I93" s="8">
        <v>0</v>
      </c>
      <c r="J93" s="9">
        <v>1.5762E-9</v>
      </c>
      <c r="K93" s="8">
        <v>0</v>
      </c>
      <c r="L93" s="8">
        <v>0</v>
      </c>
      <c r="M93" s="8">
        <v>-33.201999999999998</v>
      </c>
      <c r="N93" s="9">
        <v>-1.1519E-14</v>
      </c>
      <c r="O93" s="9">
        <v>-2.3038999999999999E-14</v>
      </c>
      <c r="P93" s="8">
        <v>-33.201999999999998</v>
      </c>
      <c r="Q93" s="9">
        <v>-1.1519E-14</v>
      </c>
      <c r="R93" s="9">
        <v>-2.3038999999999999E-14</v>
      </c>
      <c r="S93" s="8">
        <v>1</v>
      </c>
      <c r="T93" s="8">
        <v>91</v>
      </c>
      <c r="U93" s="8">
        <v>0</v>
      </c>
      <c r="V93" s="8">
        <v>0.25</v>
      </c>
      <c r="W93" s="8">
        <v>0.3</v>
      </c>
    </row>
    <row r="94" spans="1:23" x14ac:dyDescent="0.15">
      <c r="A94" s="8">
        <v>1</v>
      </c>
      <c r="B94" s="8">
        <v>-33.942</v>
      </c>
      <c r="C94" s="9">
        <v>-1.1776E-14</v>
      </c>
      <c r="D94" s="9">
        <v>-2.3552000000000001E-14</v>
      </c>
      <c r="E94" s="8">
        <v>0</v>
      </c>
      <c r="F94" s="8">
        <v>1</v>
      </c>
      <c r="G94" s="9">
        <v>3.9786000000000003E-9</v>
      </c>
      <c r="H94" s="8">
        <v>0</v>
      </c>
      <c r="I94" s="8">
        <v>0</v>
      </c>
      <c r="J94" s="9">
        <v>1.4502E-9</v>
      </c>
      <c r="K94" s="8">
        <v>0</v>
      </c>
      <c r="L94" s="8">
        <v>0</v>
      </c>
      <c r="M94" s="8">
        <v>-33.241</v>
      </c>
      <c r="N94" s="9">
        <v>-1.1533E-14</v>
      </c>
      <c r="O94" s="9">
        <v>-2.3066E-14</v>
      </c>
      <c r="P94" s="8">
        <v>-33.241</v>
      </c>
      <c r="Q94" s="9">
        <v>-1.1533E-14</v>
      </c>
      <c r="R94" s="9">
        <v>-2.3066E-14</v>
      </c>
      <c r="S94" s="8">
        <v>1</v>
      </c>
      <c r="T94" s="8">
        <v>92</v>
      </c>
      <c r="U94" s="8">
        <v>0</v>
      </c>
      <c r="V94" s="8">
        <v>0.25</v>
      </c>
      <c r="W94" s="8">
        <v>0.3</v>
      </c>
    </row>
    <row r="95" spans="1:23" x14ac:dyDescent="0.15">
      <c r="A95" s="8">
        <v>1</v>
      </c>
      <c r="B95" s="8">
        <v>-34.079000000000001</v>
      </c>
      <c r="C95" s="9">
        <v>-1.1824E-14</v>
      </c>
      <c r="D95" s="9">
        <v>-2.3646999999999999E-14</v>
      </c>
      <c r="E95" s="8">
        <v>0</v>
      </c>
      <c r="F95" s="8">
        <v>1</v>
      </c>
      <c r="G95" s="9">
        <v>4.3884000000000003E-9</v>
      </c>
      <c r="H95" s="8">
        <v>0</v>
      </c>
      <c r="I95" s="8">
        <v>0</v>
      </c>
      <c r="J95" s="9">
        <v>1.2963E-9</v>
      </c>
      <c r="K95" s="8">
        <v>0</v>
      </c>
      <c r="L95" s="8">
        <v>0</v>
      </c>
      <c r="M95" s="8">
        <v>-33.271000000000001</v>
      </c>
      <c r="N95" s="9">
        <v>-1.1543E-14</v>
      </c>
      <c r="O95" s="9">
        <v>-2.3086E-14</v>
      </c>
      <c r="P95" s="8">
        <v>-33.271000000000001</v>
      </c>
      <c r="Q95" s="9">
        <v>-1.1543E-14</v>
      </c>
      <c r="R95" s="9">
        <v>-2.3086E-14</v>
      </c>
      <c r="S95" s="8">
        <v>1</v>
      </c>
      <c r="T95" s="8">
        <v>93</v>
      </c>
      <c r="U95" s="8">
        <v>0</v>
      </c>
      <c r="V95" s="8">
        <v>0.25</v>
      </c>
      <c r="W95" s="8">
        <v>0.3</v>
      </c>
    </row>
    <row r="96" spans="1:23" x14ac:dyDescent="0.15">
      <c r="A96" s="8">
        <v>1</v>
      </c>
      <c r="B96" s="8">
        <v>-34.219000000000001</v>
      </c>
      <c r="C96" s="9">
        <v>-1.1872E-14</v>
      </c>
      <c r="D96" s="9">
        <v>-2.3744000000000001E-14</v>
      </c>
      <c r="E96" s="8">
        <v>0</v>
      </c>
      <c r="F96" s="8">
        <v>1</v>
      </c>
      <c r="G96" s="9">
        <v>4.8241999999999999E-9</v>
      </c>
      <c r="H96" s="8">
        <v>0</v>
      </c>
      <c r="I96" s="8">
        <v>0</v>
      </c>
      <c r="J96" s="9">
        <v>1.1080000000000001E-9</v>
      </c>
      <c r="K96" s="8">
        <v>0</v>
      </c>
      <c r="L96" s="8">
        <v>0</v>
      </c>
      <c r="M96" s="8">
        <v>-33.29</v>
      </c>
      <c r="N96" s="9">
        <v>-1.155E-14</v>
      </c>
      <c r="O96" s="9">
        <v>-2.3100000000000001E-14</v>
      </c>
      <c r="P96" s="8">
        <v>-33.29</v>
      </c>
      <c r="Q96" s="9">
        <v>-1.155E-14</v>
      </c>
      <c r="R96" s="9">
        <v>-2.3100000000000001E-14</v>
      </c>
      <c r="S96" s="8">
        <v>1</v>
      </c>
      <c r="T96" s="8">
        <v>94</v>
      </c>
      <c r="U96" s="8">
        <v>0</v>
      </c>
      <c r="V96" s="8">
        <v>0.25</v>
      </c>
      <c r="W96" s="8">
        <v>0.3</v>
      </c>
    </row>
    <row r="97" spans="1:23" x14ac:dyDescent="0.15">
      <c r="A97" s="8">
        <v>1</v>
      </c>
      <c r="B97" s="8">
        <v>-34.363</v>
      </c>
      <c r="C97" s="9">
        <v>-1.1921999999999999E-14</v>
      </c>
      <c r="D97" s="9">
        <v>-2.3843999999999999E-14</v>
      </c>
      <c r="E97" s="8">
        <v>0</v>
      </c>
      <c r="F97" s="8">
        <v>1</v>
      </c>
      <c r="G97" s="9">
        <v>5.2877000000000003E-9</v>
      </c>
      <c r="H97" s="8">
        <v>0</v>
      </c>
      <c r="I97" s="8">
        <v>0</v>
      </c>
      <c r="J97" s="9">
        <v>8.7753999999999995E-10</v>
      </c>
      <c r="K97" s="8">
        <v>0</v>
      </c>
      <c r="L97" s="8">
        <v>0</v>
      </c>
      <c r="M97" s="8">
        <v>-33.296999999999997</v>
      </c>
      <c r="N97" s="9">
        <v>-1.1552E-14</v>
      </c>
      <c r="O97" s="9">
        <v>-2.3105E-14</v>
      </c>
      <c r="P97" s="8">
        <v>-33.296999999999997</v>
      </c>
      <c r="Q97" s="9">
        <v>-1.1552E-14</v>
      </c>
      <c r="R97" s="9">
        <v>-2.3105E-14</v>
      </c>
      <c r="S97" s="8">
        <v>1</v>
      </c>
      <c r="T97" s="8">
        <v>95</v>
      </c>
      <c r="U97" s="8">
        <v>0</v>
      </c>
      <c r="V97" s="8">
        <v>0.25</v>
      </c>
      <c r="W97" s="8">
        <v>0.3</v>
      </c>
    </row>
    <row r="98" spans="1:23" x14ac:dyDescent="0.15">
      <c r="A98" s="8">
        <v>1</v>
      </c>
      <c r="B98" s="8">
        <v>-34.512999999999998</v>
      </c>
      <c r="C98" s="9">
        <v>-1.1973999999999999E-14</v>
      </c>
      <c r="D98" s="9">
        <v>-2.3947999999999999E-14</v>
      </c>
      <c r="E98" s="8">
        <v>0</v>
      </c>
      <c r="F98" s="8">
        <v>1</v>
      </c>
      <c r="G98" s="9">
        <v>5.7800999999999999E-9</v>
      </c>
      <c r="H98" s="8">
        <v>0</v>
      </c>
      <c r="I98" s="8">
        <v>0</v>
      </c>
      <c r="J98" s="9">
        <v>5.9493000000000003E-10</v>
      </c>
      <c r="K98" s="8">
        <v>0</v>
      </c>
      <c r="L98" s="8">
        <v>0</v>
      </c>
      <c r="M98" s="8">
        <v>-33.290999999999997</v>
      </c>
      <c r="N98" s="9">
        <v>-1.155E-14</v>
      </c>
      <c r="O98" s="9">
        <v>-2.3100000000000001E-14</v>
      </c>
      <c r="P98" s="8">
        <v>-33.290999999999997</v>
      </c>
      <c r="Q98" s="9">
        <v>-1.155E-14</v>
      </c>
      <c r="R98" s="9">
        <v>-2.3100000000000001E-14</v>
      </c>
      <c r="S98" s="8">
        <v>1</v>
      </c>
      <c r="T98" s="8">
        <v>96</v>
      </c>
      <c r="U98" s="8">
        <v>0</v>
      </c>
      <c r="V98" s="8">
        <v>0.25</v>
      </c>
      <c r="W98" s="8">
        <v>0.3</v>
      </c>
    </row>
    <row r="99" spans="1:23" x14ac:dyDescent="0.15">
      <c r="A99" s="8">
        <v>1</v>
      </c>
      <c r="B99" s="8">
        <v>-34.670999999999999</v>
      </c>
      <c r="C99" s="9">
        <v>-1.2029E-14</v>
      </c>
      <c r="D99" s="9">
        <v>-2.4058000000000001E-14</v>
      </c>
      <c r="E99" s="8">
        <v>0</v>
      </c>
      <c r="F99" s="8">
        <v>1</v>
      </c>
      <c r="G99" s="9">
        <v>6.3011999999999997E-9</v>
      </c>
      <c r="H99" s="8">
        <v>0</v>
      </c>
      <c r="I99" s="8">
        <v>0</v>
      </c>
      <c r="J99" s="9">
        <v>2.4772999999999998E-10</v>
      </c>
      <c r="K99" s="8">
        <v>0</v>
      </c>
      <c r="L99" s="8">
        <v>0</v>
      </c>
      <c r="M99" s="8">
        <v>-33.270000000000003</v>
      </c>
      <c r="N99" s="9">
        <v>-1.1543E-14</v>
      </c>
      <c r="O99" s="9">
        <v>-2.3086E-14</v>
      </c>
      <c r="P99" s="8">
        <v>-33.270000000000003</v>
      </c>
      <c r="Q99" s="9">
        <v>-1.1543E-14</v>
      </c>
      <c r="R99" s="9">
        <v>-2.3086E-14</v>
      </c>
      <c r="S99" s="8">
        <v>1</v>
      </c>
      <c r="T99" s="8">
        <v>97</v>
      </c>
      <c r="U99" s="8">
        <v>0</v>
      </c>
      <c r="V99" s="8">
        <v>0.25</v>
      </c>
      <c r="W99" s="8">
        <v>0.3</v>
      </c>
    </row>
    <row r="100" spans="1:23" x14ac:dyDescent="0.15">
      <c r="A100" s="8">
        <v>1</v>
      </c>
      <c r="B100" s="8">
        <v>-34.841000000000001</v>
      </c>
      <c r="C100" s="9">
        <v>-1.2088000000000001E-14</v>
      </c>
      <c r="D100" s="9">
        <v>-2.4176000000000002E-14</v>
      </c>
      <c r="E100" s="8">
        <v>0</v>
      </c>
      <c r="F100" s="8">
        <v>1</v>
      </c>
      <c r="G100" s="9">
        <v>6.8489999999999998E-9</v>
      </c>
      <c r="H100" s="8">
        <v>0</v>
      </c>
      <c r="I100" s="8">
        <v>0</v>
      </c>
      <c r="J100" s="9">
        <v>-1.7951999999999999E-10</v>
      </c>
      <c r="K100" s="8">
        <v>0</v>
      </c>
      <c r="L100" s="8">
        <v>0</v>
      </c>
      <c r="M100" s="8">
        <v>-33.231999999999999</v>
      </c>
      <c r="N100" s="9">
        <v>-1.1529999999999999E-14</v>
      </c>
      <c r="O100" s="9">
        <v>-2.3058999999999999E-14</v>
      </c>
      <c r="P100" s="8">
        <v>-33.231999999999999</v>
      </c>
      <c r="Q100" s="9">
        <v>-1.1529999999999999E-14</v>
      </c>
      <c r="R100" s="9">
        <v>-2.3058999999999999E-14</v>
      </c>
      <c r="S100" s="8">
        <v>1</v>
      </c>
      <c r="T100" s="8">
        <v>98</v>
      </c>
      <c r="U100" s="8">
        <v>0</v>
      </c>
      <c r="V100" s="8">
        <v>0.25</v>
      </c>
      <c r="W100" s="8">
        <v>0.3</v>
      </c>
    </row>
    <row r="101" spans="1:23" x14ac:dyDescent="0.15">
      <c r="A101" s="8">
        <v>1</v>
      </c>
      <c r="B101" s="8">
        <v>-35.027000000000001</v>
      </c>
      <c r="C101" s="9">
        <v>-1.2152E-14</v>
      </c>
      <c r="D101" s="9">
        <v>-2.4305E-14</v>
      </c>
      <c r="E101" s="8">
        <v>0</v>
      </c>
      <c r="F101" s="8">
        <v>1</v>
      </c>
      <c r="G101" s="9">
        <v>7.4179000000000002E-9</v>
      </c>
      <c r="H101" s="8">
        <v>0</v>
      </c>
      <c r="I101" s="8">
        <v>0</v>
      </c>
      <c r="J101" s="9">
        <v>-7.0584000000000002E-10</v>
      </c>
      <c r="K101" s="8">
        <v>0</v>
      </c>
      <c r="L101" s="8">
        <v>0</v>
      </c>
      <c r="M101" s="8">
        <v>-33.176000000000002</v>
      </c>
      <c r="N101" s="9">
        <v>1.0694000000000001E-14</v>
      </c>
      <c r="O101" s="9">
        <v>-1.4901000000000001E-7</v>
      </c>
      <c r="P101" s="8">
        <v>-33.176000000000002</v>
      </c>
      <c r="Q101" s="9">
        <v>1.0694000000000001E-14</v>
      </c>
      <c r="R101" s="9">
        <v>-1.4901000000000001E-7</v>
      </c>
      <c r="S101" s="8">
        <v>1</v>
      </c>
      <c r="T101" s="8">
        <v>99</v>
      </c>
      <c r="U101" s="8">
        <v>0</v>
      </c>
      <c r="V101" s="8">
        <v>0.25</v>
      </c>
      <c r="W101" s="8">
        <v>0.3</v>
      </c>
    </row>
    <row r="102" spans="1:23" x14ac:dyDescent="0.15">
      <c r="A102" s="8">
        <v>1</v>
      </c>
      <c r="B102" s="8">
        <v>-35.234999999999999</v>
      </c>
      <c r="C102" s="9">
        <v>-1.2225E-14</v>
      </c>
      <c r="D102" s="9">
        <v>-2.4448999999999999E-14</v>
      </c>
      <c r="E102" s="8">
        <v>0</v>
      </c>
      <c r="F102" s="8">
        <v>1</v>
      </c>
      <c r="G102" s="9">
        <v>7.9970999999999992E-9</v>
      </c>
      <c r="H102" s="8">
        <v>0</v>
      </c>
      <c r="I102" s="8">
        <v>0</v>
      </c>
      <c r="J102" s="9">
        <v>-1.3540000000000001E-9</v>
      </c>
      <c r="K102" s="8">
        <v>0</v>
      </c>
      <c r="L102" s="8">
        <v>0</v>
      </c>
      <c r="M102" s="8">
        <v>-33.101999999999997</v>
      </c>
      <c r="N102" s="9">
        <v>-1.1484999999999999E-14</v>
      </c>
      <c r="O102" s="9">
        <v>-2.2968999999999999E-14</v>
      </c>
      <c r="P102" s="8">
        <v>-33.101999999999997</v>
      </c>
      <c r="Q102" s="9">
        <v>-1.1484999999999999E-14</v>
      </c>
      <c r="R102" s="9">
        <v>-2.2968999999999999E-14</v>
      </c>
      <c r="S102" s="8">
        <v>1</v>
      </c>
      <c r="T102" s="8">
        <v>100</v>
      </c>
      <c r="U102" s="8">
        <v>0</v>
      </c>
      <c r="V102" s="8">
        <v>0.25</v>
      </c>
      <c r="W102" s="8">
        <v>0.3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list</vt:lpstr>
      <vt:lpstr>analytical</vt:lpstr>
      <vt:lpstr>numerical</vt:lpstr>
      <vt:lpstr>data</vt:lpstr>
      <vt:lpstr>5x7x7</vt:lpstr>
      <vt:lpstr>20x10x10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2015-12-11T09:01:35Z</dcterms:modified>
</cp:coreProperties>
</file>